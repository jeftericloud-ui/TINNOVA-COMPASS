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01 Maturidade" sheetId="2" state="visible" r:id="rId4"/>
    <sheet name="02 Estrutura" sheetId="3" state="visible" r:id="rId5"/>
    <sheet name="03 Urgência" sheetId="4" state="visible" r:id="rId6"/>
    <sheet name="LEIA-ME" sheetId="5" state="visible" r:id="rId7"/>
  </sheets>
  <definedNames>
    <definedName function="false" hidden="true" localSheetId="1" name="_xlnm._FilterDatabase" vbProcedure="false">'01 Maturidade'!$A$3:$Y$503</definedName>
    <definedName function="false" hidden="true" localSheetId="2" name="_xlnm._FilterDatabase" vbProcedure="false">'02 Estrutura'!$A$3:$X$503</definedName>
    <definedName function="false" hidden="true" localSheetId="3" name="_xlnm._FilterDatabase" vbProcedure="false">'03 Urgência'!$A$3:$X$503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<sst xmlns="http://schemas.openxmlformats.org/spreadsheetml/2006/main" count="211" uniqueCount="145">
  <si>
    <t xml:space="preserve">TINNOVA COMPASS · PAINEL DE LEADS</t>
  </si>
  <si>
    <t xml:space="preserve">Tudo calculado a partir das três abas de diagnóstico. Não digite nada nesta aba.</t>
  </si>
  <si>
    <t xml:space="preserve">VOLUME E CONVERSÃO</t>
  </si>
  <si>
    <t xml:space="preserve">COMO LER
Prioridade alta = score baixo (≤45) somado a verba aprovada ou orçamento no próximo ciclo. É a combinação de dor real com capacidade de compra.
A coluna Frente recomendada mostra qual solução da Tinnova o próprio lead sinalizou precisar. use como abertura de conversa.
Todas as fórmulas cobrem da linha 4 até a 504 de cada aba. Passando disso, estenda o intervalo.
A coluna Canal separa Web (site), VR (visor com o formulário completo) e VR Demo (visor no modo Demo Tinnova, sem e-mail). Filtre por ela para isolar uma sessão interna.
Apague a linha de exemplo (azul, em itálico) de cada aba antes de publicar.</t>
  </si>
  <si>
    <t xml:space="preserve">Diagnóstico</t>
  </si>
  <si>
    <t xml:space="preserve">Respostas</t>
  </si>
  <si>
    <t xml:space="preserve">Score médio</t>
  </si>
  <si>
    <t xml:space="preserve">Prioridade alta</t>
  </si>
  <si>
    <t xml:space="preserve">Verba aprovada</t>
  </si>
  <si>
    <t xml:space="preserve">01 Maturidade</t>
  </si>
  <si>
    <t xml:space="preserve">02 Estrutura</t>
  </si>
  <si>
    <t xml:space="preserve">03 Urgência</t>
  </si>
  <si>
    <t xml:space="preserve">TOTAL</t>
  </si>
  <si>
    <t xml:space="preserve">FRENTE RECOMENDADA · DEMANDA POR SOLUÇÃO</t>
  </si>
  <si>
    <t xml:space="preserve">Frente</t>
  </si>
  <si>
    <t xml:space="preserve">Total</t>
  </si>
  <si>
    <t xml:space="preserve">AI Portfolio Review</t>
  </si>
  <si>
    <t xml:space="preserve">Data Foundation</t>
  </si>
  <si>
    <t xml:space="preserve">AI Reset</t>
  </si>
  <si>
    <t xml:space="preserve">Automação Inteligente de Processos</t>
  </si>
  <si>
    <t xml:space="preserve">Product &amp; Platform Acceleration</t>
  </si>
  <si>
    <t xml:space="preserve">MOMENTO DE INVESTIMENTO · QUALIDADE DO PIPELINE</t>
  </si>
  <si>
    <t xml:space="preserve">Momento</t>
  </si>
  <si>
    <t xml:space="preserve">Já existe verba aprovada para esse tema</t>
  </si>
  <si>
    <t xml:space="preserve">Entra no orçamento do próximo ciclo</t>
  </si>
  <si>
    <t xml:space="preserve">Precisaríamos construir o business case primeiro</t>
  </si>
  <si>
    <t xml:space="preserve">Ainda estamos explorando o assunto</t>
  </si>
  <si>
    <t xml:space="preserve">SETOR</t>
  </si>
  <si>
    <t xml:space="preserve">Setor</t>
  </si>
  <si>
    <t xml:space="preserve">Serviços financeiros, banco ou fintech</t>
  </si>
  <si>
    <t xml:space="preserve">Indústria, manufatura ou logística</t>
  </si>
  <si>
    <t xml:space="preserve">Varejo, consumo ou e-commerce</t>
  </si>
  <si>
    <t xml:space="preserve">Saúde, educação ou serviços regulados</t>
  </si>
  <si>
    <t xml:space="preserve">Tecnologia, software ou serviços profissionais</t>
  </si>
  <si>
    <t xml:space="preserve">TINNOVA COMPASS · MATURIDADE EM IA</t>
  </si>
  <si>
    <t xml:space="preserve">Uma linha por resposta. Média de mercado usada como referência: 46 pontos. Colunas em cinza são preenchidas por fórmula. Não digite nelas.</t>
  </si>
  <si>
    <t xml:space="preserve">Data</t>
  </si>
  <si>
    <t xml:space="preserve">Nome</t>
  </si>
  <si>
    <t xml:space="preserve">Empresa</t>
  </si>
  <si>
    <t xml:space="preserve">Cargo</t>
  </si>
  <si>
    <t xml:space="preserve">E-mail</t>
  </si>
  <si>
    <t xml:space="preserve">WhatsApp</t>
  </si>
  <si>
    <t xml:space="preserve">Porte</t>
  </si>
  <si>
    <t xml:space="preserve">Dor principal</t>
  </si>
  <si>
    <t xml:space="preserve">Momento de investimento</t>
  </si>
  <si>
    <t xml:space="preserve">Score</t>
  </si>
  <si>
    <t xml:space="preserve">Faixa</t>
  </si>
  <si>
    <t xml:space="preserve">Direção</t>
  </si>
  <si>
    <t xml:space="preserve">Execução</t>
  </si>
  <si>
    <t xml:space="preserve">Pessoas</t>
  </si>
  <si>
    <t xml:space="preserve">Governança</t>
  </si>
  <si>
    <t xml:space="preserve">Resultado</t>
  </si>
  <si>
    <t xml:space="preserve">Frente recomendada</t>
  </si>
  <si>
    <t xml:space="preserve">Prioridade</t>
  </si>
  <si>
    <t xml:space="preserve">Duração (seg)</t>
  </si>
  <si>
    <t xml:space="preserve">Canal</t>
  </si>
  <si>
    <t xml:space="preserve">Origem</t>
  </si>
  <si>
    <t xml:space="preserve">Status</t>
  </si>
  <si>
    <t xml:space="preserve">Responsável</t>
  </si>
  <si>
    <t xml:space="preserve">Observações</t>
  </si>
  <si>
    <t xml:space="preserve">2026-08-04 09:41</t>
  </si>
  <si>
    <t xml:space="preserve">Ana Ribeiro</t>
  </si>
  <si>
    <t xml:space="preserve">Metalúrgica Vertex</t>
  </si>
  <si>
    <t xml:space="preserve">Diretora de TI</t>
  </si>
  <si>
    <t xml:space="preserve">ana.ribeiro@vertex.com.br</t>
  </si>
  <si>
    <t xml:space="preserve">(11) 98888-1234</t>
  </si>
  <si>
    <t xml:space="preserve">De 500 a 2.000 pessoas</t>
  </si>
  <si>
    <t xml:space="preserve">Saber onde aplicar IA com retorno real</t>
  </si>
  <si>
    <t xml:space="preserve">Em construção</t>
  </si>
  <si>
    <t xml:space="preserve">Web</t>
  </si>
  <si>
    <t xml:space="preserve">https://tinnova.com.br/compass/maturidade</t>
  </si>
  <si>
    <t xml:space="preserve">Novo</t>
  </si>
  <si>
    <t xml:space="preserve">TINNOVA COMPASS · ESTRUTURA DE DADOS E TECNOLOGIA</t>
  </si>
  <si>
    <t xml:space="preserve">Uma linha por resposta. Média de mercado usada como referência: 43 pontos. Colunas em cinza são preenchidas por fórmula. Não digite nelas.</t>
  </si>
  <si>
    <t xml:space="preserve">Dados</t>
  </si>
  <si>
    <t xml:space="preserve">Acesso</t>
  </si>
  <si>
    <t xml:space="preserve">Sistemas</t>
  </si>
  <si>
    <t xml:space="preserve">2026-08-04 10:15</t>
  </si>
  <si>
    <t xml:space="preserve">Carlos Menezes</t>
  </si>
  <si>
    <t xml:space="preserve">Banco Aurora</t>
  </si>
  <si>
    <t xml:space="preserve">Head de Dados</t>
  </si>
  <si>
    <t xml:space="preserve">carlos.menezes@aurora.com.br</t>
  </si>
  <si>
    <t xml:space="preserve">Mais de 2.000 pessoas</t>
  </si>
  <si>
    <t xml:space="preserve">Organizar os dados para decidir com confiança</t>
  </si>
  <si>
    <t xml:space="preserve">Base parcial</t>
  </si>
  <si>
    <t xml:space="preserve">VR</t>
  </si>
  <si>
    <t xml:space="preserve">https://tinnova.com.br/compass/vr/estrutura</t>
  </si>
  <si>
    <t xml:space="preserve">TINNOVA COMPASS · CUSTO DE CONTINUAR COMO ESTÁ</t>
  </si>
  <si>
    <t xml:space="preserve">Uma linha por resposta. Média de mercado usada como referência: 48 pontos. Colunas em cinza são preenchidas por fórmula. Não digite nelas.</t>
  </si>
  <si>
    <t xml:space="preserve">Custo operacional</t>
  </si>
  <si>
    <t xml:space="preserve">Escala</t>
  </si>
  <si>
    <t xml:space="preserve">Mercado</t>
  </si>
  <si>
    <t xml:space="preserve">Pressão</t>
  </si>
  <si>
    <t xml:space="preserve">2026-08-04 11:02</t>
  </si>
  <si>
    <t xml:space="preserve">Bruna Tavares</t>
  </si>
  <si>
    <t xml:space="preserve">Rede Ponto Certo</t>
  </si>
  <si>
    <t xml:space="preserve">COO</t>
  </si>
  <si>
    <t xml:space="preserve">bruna.tavares@pontocerto.com.br</t>
  </si>
  <si>
    <t xml:space="preserve">(21) 97777-4321</t>
  </si>
  <si>
    <t xml:space="preserve">De 100 a 500 pessoas</t>
  </si>
  <si>
    <t xml:space="preserve">Reduzir trabalho manual e custo de operação</t>
  </si>
  <si>
    <t xml:space="preserve">Janela crítica</t>
  </si>
  <si>
    <t xml:space="preserve">https://tinnova.com.br/compass/urgencia</t>
  </si>
  <si>
    <t xml:space="preserve">TINNOVA COMPASS · COMO ALIMENTAR ESTA PLANILHA</t>
  </si>
  <si>
    <t xml:space="preserve">O que é</t>
  </si>
  <si>
    <t xml:space="preserve">Cada diagnóstico do Compass grava uma linha por resposta na sua aba. As três abas têm exatamente as mesmas colunas de captura, mudando apenas as colunas de dimensão no meio.</t>
  </si>
  <si>
    <t xml:space="preserve">A linha em azul e itálico de cada aba é um exemplo do formato esperado. APAGUE ESSA LINHA antes de publicar os diagnósticos. Enquanto ela existir, o Painel a conta como se fosse um lead real.</t>
  </si>
  <si>
    <t xml:space="preserve">Ligando o formulário à planilha</t>
  </si>
  <si>
    <t xml:space="preserve">1. Abra esta planilha no Google Sheets (Arquivo → Importar). O passo a passo abaixo usa o Google Apps Script, que é gratuito e não exige servidor.</t>
  </si>
  <si>
    <t xml:space="preserve">2. No Google Sheets, vá em Extensões → Apps Script e cole o código da seção seguinte.</t>
  </si>
  <si>
    <t xml:space="preserve">3. Clique em Implantar → Nova implantação → tipo "App da Web". Em "Quem pode acessar", escolha "Qualquer pessoa". Copie a URL gerada.</t>
  </si>
  <si>
    <t xml:space="preserve">4. Abra cada arquivo HTML do diagnóstico, procure a linha que começa com const WEBHOOK_URL e cole a URL entre as aspas. Salve e publique.</t>
  </si>
  <si>
    <t xml:space="preserve">5. Faça um teste preenchendo o diagnóstico. A linha deve aparecer na aba correspondente em poucos segundos.</t>
  </si>
  <si>
    <t xml:space="preserve">Código do Apps Script</t>
  </si>
  <si>
    <t xml:space="preserve">function doPost(e) {</t>
  </si>
  <si>
    <t xml:space="preserve">  var dados = JSON.parse(e.postData.contents);</t>
  </si>
  <si>
    <t xml:space="preserve">  var abas = {</t>
  </si>
  <si>
    <t xml:space="preserve">    "compass-01-maturidade": "01 Maturidade",</t>
  </si>
  <si>
    <t xml:space="preserve">    "compass-02-estrutura":  "02 Estrutura",</t>
  </si>
  <si>
    <t xml:space="preserve">    "compass-03-urgencia":   "03 Urgência"</t>
  </si>
  <si>
    <t xml:space="preserve">  };</t>
  </si>
  <si>
    <t xml:space="preserve">  var planilha = SpreadsheetApp.getActiveSpreadsheet();</t>
  </si>
  <si>
    <t xml:space="preserve">  var aba = planilha.getSheetByName(abas[dados.diagnostico]);</t>
  </si>
  <si>
    <t xml:space="preserve">  if (!aba) return ContentService.createTextOutput("aba nao encontrada");</t>
  </si>
  <si>
    <t xml:space="preserve">  // ordem das dimensoes por diagnostico</t>
  </si>
  <si>
    <t xml:space="preserve">  var ordem = {</t>
  </si>
  <si>
    <t xml:space="preserve">    "compass-01-maturidade": ["Direção","Execução","Pessoas","Governança","Resultado"],</t>
  </si>
  <si>
    <t xml:space="preserve">    "compass-02-estrutura":  ["Dados","Acesso","Sistemas","Governança"],</t>
  </si>
  <si>
    <t xml:space="preserve">    "compass-03-urgencia":   ["Custo operacional","Escala","Mercado","Pressão"]</t>
  </si>
  <si>
    <t xml:space="preserve">  }[dados.diagnostico];</t>
  </si>
  <si>
    <t xml:space="preserve">  var dims = ordem.map(function(nome){ return dados.dimensoes[nome]; });</t>
  </si>
  <si>
    <t xml:space="preserve">  var linha = [ new Date(dados.data), dados.nome, dados.empresa, dados.cargo,</t>
  </si>
  <si>
    <t xml:space="preserve">                dados.email, dados.whatsapp, dados.segmento, dados.porte,</t>
  </si>
  <si>
    <t xml:space="preserve">                dados.dor, dados.momento, dados.score, dados.faixa ]</t>
  </si>
  <si>
    <t xml:space="preserve">              .concat(dims)</t>
  </si>
  <si>
    <t xml:space="preserve">              .concat([ dados.vertical_recomendada, "", dados.duracao_seg,</t>
  </si>
  <si>
    <t xml:space="preserve">                        dados.canal, dados.origem, "Novo", "", "" ]);</t>
  </si>
  <si>
    <t xml:space="preserve">  aba.appendRow(linha);</t>
  </si>
  <si>
    <t xml:space="preserve">  return ContentService.createTextOutput("ok");</t>
  </si>
  <si>
    <t xml:space="preserve">}</t>
  </si>
  <si>
    <t xml:space="preserve">A coluna Prioridade já vem com fórmula até a linha 504 e é recalculada sozinha. O Apps Script grava uma célula vazia nessa posição de propósito, para não sobrescrever a fórmula.</t>
  </si>
  <si>
    <t xml:space="preserve">As colunas Status, Responsável e Observações são de preenchimento manual pelo time comercial. Status e Canal têm lista suspensa.</t>
  </si>
  <si>
    <t xml:space="preserve">No modo Demo Tinnova (usado na demonstração com o visor) a pessoa escolhe o nome numa lista em vez de digitar. A linha chega com Empresa igual a Tinnova, e-mail em branco e Canal igual a VR Demo. Por isso o Painel conta respostas pela coluna Nome, e não pelo e-mail.</t>
  </si>
  <si>
    <t xml:space="preserve">A aba Painel consolida as três e não precisa de manutenção. As fórmulas cobrem até a linha 504 de cada aba. Se passar disso, estenda os intervalos.</t>
  </si>
  <si>
    <t xml:space="preserve">Se preferir enviar direto para um CRM em vez do Sheets, o mesmo objeto JSON pode ser apontado para qualquer endpoint: basta trocar a URL em WEBHOOK_URL.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</si>
</sst>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61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901E75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2D2426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418"/>
        <bgColor rgb="FF2D2426"/>
      </patternFill>
    </fill>
    <fill>
      <patternFill patternType="solid">
        <fgColor rgb="FF901E75"/>
        <bgColor rgb="FF993366"/>
      </patternFill>
    </fill>
    <fill>
      <patternFill patternType="solid">
        <fgColor rgb="FFF8F6F7"/>
        <bgColor rgb="FFFDF4E3"/>
      </patternFill>
    </fill>
    <fill>
      <patternFill patternType="solid">
        <fgColor rgb="FF115185"/>
        <bgColor rgb="FF0066CC"/>
      </patternFill>
    </fill>
    <fill>
      <patternFill patternType="solid">
        <fgColor rgb="FF7A1550"/>
        <bgColor rgb="FF901E7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6E1E4"/>
      </left>
      <right style="thin">
        <color rgb="FFE6E1E4"/>
      </right>
      <top style="thin">
        <color rgb="FFE6E1E4"/>
      </top>
      <bottom/>
      <diagonal/>
    </border>
    <border diagonalUp="false" diagonalDown="false">
      <left style="thin">
        <color rgb="FFE6E1E4"/>
      </left>
      <right style="thin">
        <color rgb="FFE6E1E4"/>
      </right>
      <top style="thin">
        <color rgb="FFE6E1E4"/>
      </top>
      <bottom style="thin">
        <color rgb="FFE6E1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A141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9E7"/>
          <bgColor rgb="FF000000"/>
        </patternFill>
      </fill>
    </dxf>
    <dxf>
      <fill>
        <patternFill patternType="solid">
          <fgColor rgb="FFFDF4E3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DEFD3"/>
          <bgColor rgb="FF000000"/>
        </patternFill>
      </fill>
    </dxf>
    <dxf>
      <fill>
        <patternFill patternType="solid">
          <fgColor rgb="FFFAE1CD"/>
          <bgColor rgb="FF000000"/>
        </patternFill>
      </fill>
    </dxf>
    <dxf>
      <fill>
        <patternFill patternType="solid">
          <fgColor rgb="FFF8F6F7"/>
          <bgColor rgb="FF000000"/>
        </patternFill>
      </fill>
    </dxf>
    <dxf>
      <font>
        <name val="Arial"/>
        <charset val="1"/>
        <family val="0"/>
        <b val="1"/>
        <color rgb="FFB3261E"/>
        <sz val="9"/>
      </font>
      <fill>
        <patternFill>
          <bgColor rgb="FFFCE9E7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DF4E3"/>
        </patternFill>
      </fill>
    </dxf>
    <dxf>
      <font>
        <name val="Arial"/>
        <charset val="1"/>
        <family val="0"/>
        <b val="1"/>
        <color rgb="FF186A3F"/>
        <sz val="9"/>
      </font>
      <fill>
        <patternFill>
          <bgColor rgb="FFE9F5EE"/>
        </patternFill>
      </fill>
    </dxf>
    <dxf>
      <font>
        <name val="Arial"/>
        <charset val="1"/>
        <family val="0"/>
        <b val="1"/>
        <color rgb="FFB3261E"/>
        <sz val="9"/>
      </font>
    </dxf>
    <dxf>
      <font>
        <name val="Arial"/>
        <charset val="1"/>
        <family val="0"/>
        <b val="1"/>
        <color rgb="FF8A6100"/>
        <sz val="9"/>
      </font>
    </dxf>
    <dxf>
      <fill>
        <patternFill patternType="solid">
          <fgColor rgb="FFEDEDD5"/>
          <bgColor rgb="FF000000"/>
        </patternFill>
      </fill>
    </dxf>
    <dxf>
      <fill>
        <patternFill patternType="solid">
          <fgColor rgb="FFF7D3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A3F"/>
      <rgbColor rgb="FF000080"/>
      <rgbColor rgb="FF8A6100"/>
      <rgbColor rgb="FF800080"/>
      <rgbColor rgb="FF008080"/>
      <rgbColor rgb="FFC0C0C0"/>
      <rgbColor rgb="FF808080"/>
      <rgbColor rgb="FF9999FF"/>
      <rgbColor rgb="FF901E75"/>
      <rgbColor rgb="FFFDF4E3"/>
      <rgbColor rgb="FFE9F5EE"/>
      <rgbColor rgb="FF7A1550"/>
      <rgbColor rgb="FFFF8080"/>
      <rgbColor rgb="FF0066CC"/>
      <rgbColor rgb="FFE6E1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6F7"/>
      <rgbColor rgb="FFCCFFCC"/>
      <rgbColor rgb="FFFC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167"/>
      <rgbColor rgb="FF969696"/>
      <rgbColor rgb="FF115185"/>
      <rgbColor rgb="FF339966"/>
      <rgbColor rgb="FF003300"/>
      <rgbColor rgb="FF1A1418"/>
      <rgbColor rgb="FFB3261E"/>
      <rgbColor rgb="FF993366"/>
      <rgbColor rgb="FF333399"/>
      <rgbColor rgb="FF2D24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  <col collapsed="false" customWidth="true" hidden="false" outlineLevel="0" max="6" min="6" style="0" width="4"/>
    <col collapsed="false" customWidth="true" hidden="false" outlineLevel="0" max="7" min="7" style="0" width="4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G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G5" s="4"/>
    </row>
    <row r="6" customFormat="false" ht="15" hidden="false" customHeight="false" outlineLevel="0" collapsed="false">
      <c r="A6" s="7" t="s">
        <v>9</v>
      </c>
      <c r="B6" s="8" t="n">
        <f aca="false">COUNTA('01 Maturidade'!B4:B504)</f>
        <v>1</v>
      </c>
      <c r="C6" s="8" t="n">
        <f aca="false">IFERROR(ROUND(AVERAGE('01 Maturidade'!K4:K504),0),0)</f>
        <v>42</v>
      </c>
      <c r="D6" s="8" t="n">
        <f aca="false">COUNTIF('01 Maturidade'!S4:S504,"Alta")</f>
        <v>1</v>
      </c>
      <c r="E6" s="8" t="n">
        <f aca="false">COUNTIF('01 Maturidade'!J4:J504,"Já existe verba aprovada para esse tema")</f>
        <v>0</v>
      </c>
      <c r="G6" s="4"/>
    </row>
    <row r="7" customFormat="false" ht="15" hidden="false" customHeight="false" outlineLevel="0" collapsed="false">
      <c r="A7" s="7" t="s">
        <v>10</v>
      </c>
      <c r="B7" s="8" t="n">
        <f aca="false">COUNTA('02 Estrutura'!B4:B504)</f>
        <v>1</v>
      </c>
      <c r="C7" s="8" t="n">
        <f aca="false">IFERROR(ROUND(AVERAGE('02 Estrutura'!K4:K504),0),0)</f>
        <v>55</v>
      </c>
      <c r="D7" s="8" t="n">
        <f aca="false">COUNTIF('02 Estrutura'!R4:R504,"Alta")</f>
        <v>0</v>
      </c>
      <c r="E7" s="8" t="n">
        <f aca="false">COUNTIF('02 Estrutura'!J4:J504,"Já existe verba aprovada para esse tema")</f>
        <v>1</v>
      </c>
      <c r="G7" s="4"/>
    </row>
    <row r="8" customFormat="false" ht="15" hidden="false" customHeight="false" outlineLevel="0" collapsed="false">
      <c r="A8" s="7" t="s">
        <v>11</v>
      </c>
      <c r="B8" s="8" t="n">
        <f aca="false">COUNTA('03 Urgência'!B4:B504)</f>
        <v>1</v>
      </c>
      <c r="C8" s="8" t="n">
        <f aca="false">IFERROR(ROUND(AVERAGE('03 Urgência'!K4:K504),0),0)</f>
        <v>29</v>
      </c>
      <c r="D8" s="8" t="n">
        <f aca="false">COUNTIF('03 Urgência'!R4:R504,"Alta")</f>
        <v>0</v>
      </c>
      <c r="E8" s="8" t="n">
        <f aca="false">COUNTIF('03 Urgência'!J4:J504,"Já existe verba aprovada para esse tema")</f>
        <v>0</v>
      </c>
      <c r="G8" s="4"/>
    </row>
    <row r="9" customFormat="false" ht="15" hidden="false" customHeight="false" outlineLevel="0" collapsed="false">
      <c r="A9" s="9" t="s">
        <v>12</v>
      </c>
      <c r="B9" s="10" t="n">
        <f aca="false">SUM(B6:B8)</f>
        <v>3</v>
      </c>
      <c r="C9" s="10" t="n">
        <f aca="false">IFERROR(ROUND(AVERAGE(C6:C8),0),0)</f>
        <v>42</v>
      </c>
      <c r="D9" s="10" t="n">
        <f aca="false">SUM(D6:D8)</f>
        <v>1</v>
      </c>
      <c r="E9" s="10" t="n">
        <f aca="false">SUM(E6:E8)</f>
        <v>1</v>
      </c>
      <c r="G9" s="4"/>
    </row>
    <row r="10" customFormat="false" ht="15" hidden="false" customHeight="false" outlineLevel="0" collapsed="false">
      <c r="G10" s="4"/>
    </row>
    <row r="11" customFormat="false" ht="19.5" hidden="false" customHeight="true" outlineLevel="0" collapsed="false">
      <c r="A11" s="3" t="s">
        <v>13</v>
      </c>
      <c r="B11" s="3"/>
      <c r="C11" s="3"/>
      <c r="D11" s="3"/>
      <c r="E11" s="3"/>
      <c r="G11" s="4"/>
    </row>
    <row r="12" customFormat="false" ht="15" hidden="false" customHeight="false" outlineLevel="0" collapsed="false">
      <c r="A12" s="5" t="s">
        <v>14</v>
      </c>
      <c r="B12" s="6" t="s">
        <v>9</v>
      </c>
      <c r="C12" s="6" t="s">
        <v>10</v>
      </c>
      <c r="D12" s="6" t="s">
        <v>11</v>
      </c>
      <c r="E12" s="6" t="s">
        <v>15</v>
      </c>
      <c r="G12" s="4"/>
    </row>
    <row r="13" customFormat="false" ht="15" hidden="false" customHeight="false" outlineLevel="0" collapsed="false">
      <c r="A13" s="7" t="s">
        <v>16</v>
      </c>
      <c r="B13" s="8" t="n">
        <f aca="false">COUNTIF('01 Maturidade'!R4:R504,$A13)</f>
        <v>1</v>
      </c>
      <c r="C13" s="8" t="n">
        <f aca="false">COUNTIF('02 Estrutura'!Q4:Q504,$A13)</f>
        <v>0</v>
      </c>
      <c r="D13" s="8" t="n">
        <f aca="false">COUNTIF('03 Urgência'!Q4:Q504,$A13)</f>
        <v>0</v>
      </c>
      <c r="E13" s="10" t="n">
        <f aca="false">SUM(B13:D13)</f>
        <v>1</v>
      </c>
    </row>
    <row r="14" customFormat="false" ht="15" hidden="false" customHeight="false" outlineLevel="0" collapsed="false">
      <c r="A14" s="7" t="s">
        <v>17</v>
      </c>
      <c r="B14" s="8" t="n">
        <f aca="false">COUNTIF('01 Maturidade'!R4:R504,$A14)</f>
        <v>0</v>
      </c>
      <c r="C14" s="8" t="n">
        <f aca="false">COUNTIF('02 Estrutura'!Q4:Q504,$A14)</f>
        <v>1</v>
      </c>
      <c r="D14" s="8" t="n">
        <f aca="false">COUNTIF('03 Urgência'!Q4:Q504,$A14)</f>
        <v>0</v>
      </c>
      <c r="E14" s="10" t="n">
        <f aca="false">SUM(B14:D14)</f>
        <v>1</v>
      </c>
    </row>
    <row r="15" customFormat="false" ht="15" hidden="false" customHeight="false" outlineLevel="0" collapsed="false">
      <c r="A15" s="7" t="s">
        <v>18</v>
      </c>
      <c r="B15" s="8" t="n">
        <f aca="false">COUNTIF('01 Maturidade'!R4:R504,$A15)</f>
        <v>0</v>
      </c>
      <c r="C15" s="8" t="n">
        <f aca="false">COUNTIF('02 Estrutura'!Q4:Q504,$A15)</f>
        <v>0</v>
      </c>
      <c r="D15" s="8" t="n">
        <f aca="false">COUNTIF('03 Urgência'!Q4:Q504,$A15)</f>
        <v>0</v>
      </c>
      <c r="E15" s="10" t="n">
        <f aca="false">SUM(B15:D15)</f>
        <v>0</v>
      </c>
    </row>
    <row r="16" customFormat="false" ht="15" hidden="false" customHeight="false" outlineLevel="0" collapsed="false">
      <c r="A16" s="7" t="s">
        <v>19</v>
      </c>
      <c r="B16" s="8" t="n">
        <f aca="false">COUNTIF('01 Maturidade'!R4:R504,$A16)</f>
        <v>0</v>
      </c>
      <c r="C16" s="8" t="n">
        <f aca="false">COUNTIF('02 Estrutura'!Q4:Q504,$A16)</f>
        <v>0</v>
      </c>
      <c r="D16" s="8" t="n">
        <f aca="false">COUNTIF('03 Urgência'!Q4:Q504,$A16)</f>
        <v>1</v>
      </c>
      <c r="E16" s="10" t="n">
        <f aca="false">SUM(B16:D16)</f>
        <v>1</v>
      </c>
    </row>
    <row r="17" customFormat="false" ht="15" hidden="false" customHeight="false" outlineLevel="0" collapsed="false">
      <c r="A17" s="7" t="s">
        <v>20</v>
      </c>
      <c r="B17" s="8" t="n">
        <f aca="false">COUNTIF('01 Maturidade'!R4:R504,$A17)</f>
        <v>0</v>
      </c>
      <c r="C17" s="8" t="n">
        <f aca="false">COUNTIF('02 Estrutura'!Q4:Q504,$A17)</f>
        <v>0</v>
      </c>
      <c r="D17" s="8" t="n">
        <f aca="false">COUNTIF('03 Urgência'!Q4:Q504,$A17)</f>
        <v>0</v>
      </c>
      <c r="E17" s="10" t="n">
        <f aca="false">SUM(B17:D17)</f>
        <v>0</v>
      </c>
    </row>
    <row r="19" customFormat="false" ht="19.5" hidden="false" customHeight="true" outlineLevel="0" collapsed="false">
      <c r="A19" s="3" t="s">
        <v>21</v>
      </c>
      <c r="B19" s="3"/>
      <c r="C19" s="3"/>
      <c r="D19" s="3"/>
      <c r="E19" s="3"/>
    </row>
    <row r="20" customFormat="false" ht="15" hidden="false" customHeight="false" outlineLevel="0" collapsed="false">
      <c r="A20" s="5" t="s">
        <v>22</v>
      </c>
      <c r="B20" s="6" t="s">
        <v>9</v>
      </c>
      <c r="C20" s="6" t="s">
        <v>10</v>
      </c>
      <c r="D20" s="6" t="s">
        <v>11</v>
      </c>
      <c r="E20" s="6" t="s">
        <v>15</v>
      </c>
    </row>
    <row r="21" customFormat="false" ht="25.5" hidden="false" customHeight="true" outlineLevel="0" collapsed="false">
      <c r="A21" s="11" t="s">
        <v>23</v>
      </c>
      <c r="B21" s="8" t="n">
        <f aca="false">COUNTIF('01 Maturidade'!J4:J504,$A21)</f>
        <v>0</v>
      </c>
      <c r="C21" s="8" t="n">
        <f aca="false">COUNTIF('02 Estrutura'!J4:J504,$A21)</f>
        <v>1</v>
      </c>
      <c r="D21" s="8" t="n">
        <f aca="false">COUNTIF('03 Urgência'!J4:J504,$A21)</f>
        <v>0</v>
      </c>
      <c r="E21" s="10" t="n">
        <f aca="false">SUM(B21:D21)</f>
        <v>1</v>
      </c>
    </row>
    <row r="22" customFormat="false" ht="25.5" hidden="false" customHeight="true" outlineLevel="0" collapsed="false">
      <c r="A22" s="11" t="s">
        <v>24</v>
      </c>
      <c r="B22" s="8" t="n">
        <f aca="false">COUNTIF('01 Maturidade'!J4:J504,$A22)</f>
        <v>1</v>
      </c>
      <c r="C22" s="8" t="n">
        <f aca="false">COUNTIF('02 Estrutura'!J4:J504,$A22)</f>
        <v>0</v>
      </c>
      <c r="D22" s="8" t="n">
        <f aca="false">COUNTIF('03 Urgência'!J4:J504,$A22)</f>
        <v>0</v>
      </c>
      <c r="E22" s="10" t="n">
        <f aca="false">SUM(B22:D22)</f>
        <v>1</v>
      </c>
    </row>
    <row r="23" customFormat="false" ht="25.5" hidden="false" customHeight="true" outlineLevel="0" collapsed="false">
      <c r="A23" s="11" t="s">
        <v>25</v>
      </c>
      <c r="B23" s="8" t="n">
        <f aca="false">COUNTIF('01 Maturidade'!J4:J504,$A23)</f>
        <v>0</v>
      </c>
      <c r="C23" s="8" t="n">
        <f aca="false">COUNTIF('02 Estrutura'!J4:J504,$A23)</f>
        <v>0</v>
      </c>
      <c r="D23" s="8" t="n">
        <f aca="false">COUNTIF('03 Urgência'!J4:J504,$A23)</f>
        <v>1</v>
      </c>
      <c r="E23" s="10" t="n">
        <f aca="false">SUM(B23:D23)</f>
        <v>1</v>
      </c>
    </row>
    <row r="24" customFormat="false" ht="25.5" hidden="false" customHeight="true" outlineLevel="0" collapsed="false">
      <c r="A24" s="11" t="s">
        <v>26</v>
      </c>
      <c r="B24" s="8" t="n">
        <f aca="false">COUNTIF('01 Maturidade'!J4:J504,$A24)</f>
        <v>0</v>
      </c>
      <c r="C24" s="8" t="n">
        <f aca="false">COUNTIF('02 Estrutura'!J4:J504,$A24)</f>
        <v>0</v>
      </c>
      <c r="D24" s="8" t="n">
        <f aca="false">COUNTIF('03 Urgência'!J4:J504,$A24)</f>
        <v>0</v>
      </c>
      <c r="E24" s="10" t="n">
        <f aca="false">SUM(B24:D24)</f>
        <v>0</v>
      </c>
    </row>
    <row r="26" customFormat="false" ht="19.5" hidden="false" customHeight="true" outlineLevel="0" collapsed="false">
      <c r="A26" s="3" t="s">
        <v>27</v>
      </c>
      <c r="B26" s="3"/>
      <c r="C26" s="3"/>
      <c r="D26" s="3"/>
      <c r="E26" s="3"/>
    </row>
    <row r="27" customFormat="false" ht="15" hidden="false" customHeight="false" outlineLevel="0" collapsed="false">
      <c r="A27" s="5" t="s">
        <v>28</v>
      </c>
      <c r="B27" s="6" t="s">
        <v>9</v>
      </c>
      <c r="C27" s="6" t="s">
        <v>10</v>
      </c>
      <c r="D27" s="6" t="s">
        <v>11</v>
      </c>
      <c r="E27" s="6" t="s">
        <v>15</v>
      </c>
    </row>
    <row r="28" customFormat="false" ht="25.5" hidden="false" customHeight="true" outlineLevel="0" collapsed="false">
      <c r="A28" s="11" t="s">
        <v>29</v>
      </c>
      <c r="B28" s="8" t="n">
        <f aca="false">COUNTIF('01 Maturidade'!G4:G504,$A28)</f>
        <v>0</v>
      </c>
      <c r="C28" s="8" t="n">
        <f aca="false">COUNTIF('02 Estrutura'!G4:G504,$A28)</f>
        <v>1</v>
      </c>
      <c r="D28" s="8" t="n">
        <f aca="false">COUNTIF('03 Urgência'!G4:G504,$A28)</f>
        <v>0</v>
      </c>
      <c r="E28" s="10" t="n">
        <f aca="false">SUM(B28:D28)</f>
        <v>1</v>
      </c>
    </row>
    <row r="29" customFormat="false" ht="25.5" hidden="false" customHeight="true" outlineLevel="0" collapsed="false">
      <c r="A29" s="11" t="s">
        <v>30</v>
      </c>
      <c r="B29" s="8" t="n">
        <f aca="false">COUNTIF('01 Maturidade'!G4:G504,$A29)</f>
        <v>1</v>
      </c>
      <c r="C29" s="8" t="n">
        <f aca="false">COUNTIF('02 Estrutura'!G4:G504,$A29)</f>
        <v>0</v>
      </c>
      <c r="D29" s="8" t="n">
        <f aca="false">COUNTIF('03 Urgência'!G4:G504,$A29)</f>
        <v>0</v>
      </c>
      <c r="E29" s="10" t="n">
        <f aca="false">SUM(B29:D29)</f>
        <v>1</v>
      </c>
    </row>
    <row r="30" customFormat="false" ht="25.5" hidden="false" customHeight="true" outlineLevel="0" collapsed="false">
      <c r="A30" s="11" t="s">
        <v>31</v>
      </c>
      <c r="B30" s="8" t="n">
        <f aca="false">COUNTIF('01 Maturidade'!G4:G504,$A30)</f>
        <v>0</v>
      </c>
      <c r="C30" s="8" t="n">
        <f aca="false">COUNTIF('02 Estrutura'!G4:G504,$A30)</f>
        <v>0</v>
      </c>
      <c r="D30" s="8" t="n">
        <f aca="false">COUNTIF('03 Urgência'!G4:G504,$A30)</f>
        <v>1</v>
      </c>
      <c r="E30" s="10" t="n">
        <f aca="false">SUM(B30:D30)</f>
        <v>1</v>
      </c>
    </row>
    <row r="31" customFormat="false" ht="25.5" hidden="false" customHeight="true" outlineLevel="0" collapsed="false">
      <c r="A31" s="11" t="s">
        <v>32</v>
      </c>
      <c r="B31" s="8" t="n">
        <f aca="false">COUNTIF('01 Maturidade'!G4:G504,$A31)</f>
        <v>0</v>
      </c>
      <c r="C31" s="8" t="n">
        <f aca="false">COUNTIF('02 Estrutura'!G4:G504,$A31)</f>
        <v>0</v>
      </c>
      <c r="D31" s="8" t="n">
        <f aca="false">COUNTIF('03 Urgência'!G4:G504,$A31)</f>
        <v>0</v>
      </c>
      <c r="E31" s="10" t="n">
        <f aca="false">SUM(B31:D31)</f>
        <v>0</v>
      </c>
    </row>
    <row r="32" customFormat="false" ht="25.5" hidden="false" customHeight="true" outlineLevel="0" collapsed="false">
      <c r="A32" s="11" t="s">
        <v>33</v>
      </c>
      <c r="B32" s="8" t="n">
        <f aca="false">COUNTIF('01 Maturidade'!G4:G504,$A32)</f>
        <v>0</v>
      </c>
      <c r="C32" s="8" t="n">
        <f aca="false">COUNTIF('02 Estrutura'!G4:G504,$A32)</f>
        <v>0</v>
      </c>
      <c r="D32" s="8" t="n">
        <f aca="false">COUNTIF('03 Urgência'!G4:G504,$A32)</f>
        <v>0</v>
      </c>
      <c r="E32" s="10" t="n">
        <f aca="false">SUM(B32:D32)</f>
        <v>0</v>
      </c>
    </row>
  </sheetData>
  <mergeCells count="7">
    <mergeCell ref="A1:G1"/>
    <mergeCell ref="A2:G2"/>
    <mergeCell ref="A4:E4"/>
    <mergeCell ref="G4:G12"/>
    <mergeCell ref="A11:E11"/>
    <mergeCell ref="A19:E19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7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34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5" min="13" style="0" width="13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30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34"/>
    <col collapsed="false" customWidth="true" hidden="false" outlineLevel="0" max="23" min="23" style="0" width="16"/>
    <col collapsed="false" customWidth="true" hidden="false" outlineLevel="0" max="24" min="24" style="0" width="18"/>
    <col collapsed="false" customWidth="true" hidden="false" outlineLevel="0" max="25" min="25" style="0" width="40"/>
  </cols>
  <sheetData>
    <row r="1" customFormat="false" ht="25.5" hidden="false" customHeight="true" outlineLevel="0" collapsed="false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3.75" hidden="false" customHeight="true" outlineLevel="0" collapsed="false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28</v>
      </c>
      <c r="H3" s="13" t="s">
        <v>42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53</v>
      </c>
      <c r="T3" s="13" t="s">
        <v>54</v>
      </c>
      <c r="U3" s="13" t="s">
        <v>55</v>
      </c>
      <c r="V3" s="13" t="s">
        <v>56</v>
      </c>
      <c r="W3" s="13" t="s">
        <v>57</v>
      </c>
      <c r="X3" s="13" t="s">
        <v>58</v>
      </c>
      <c r="Y3" s="13" t="s">
        <v>59</v>
      </c>
    </row>
    <row r="4" customFormat="false" ht="15" hidden="false" customHeight="false" outlineLevel="0" collapsed="false">
      <c r="A4" s="14" t="s">
        <v>60</v>
      </c>
      <c r="B4" s="14" t="s">
        <v>61</v>
      </c>
      <c r="C4" s="14" t="s">
        <v>62</v>
      </c>
      <c r="D4" s="14" t="s">
        <v>63</v>
      </c>
      <c r="E4" s="14" t="s">
        <v>64</v>
      </c>
      <c r="F4" s="14" t="s">
        <v>65</v>
      </c>
      <c r="G4" s="15" t="s">
        <v>30</v>
      </c>
      <c r="H4" s="14" t="s">
        <v>66</v>
      </c>
      <c r="I4" s="15" t="s">
        <v>67</v>
      </c>
      <c r="J4" s="15" t="s">
        <v>24</v>
      </c>
      <c r="K4" s="14" t="n">
        <v>42</v>
      </c>
      <c r="L4" s="14" t="s">
        <v>68</v>
      </c>
      <c r="M4" s="14" t="n">
        <v>50</v>
      </c>
      <c r="N4" s="14" t="n">
        <v>33</v>
      </c>
      <c r="O4" s="14" t="n">
        <v>50</v>
      </c>
      <c r="P4" s="14" t="n">
        <v>33</v>
      </c>
      <c r="Q4" s="14" t="n">
        <v>50</v>
      </c>
      <c r="R4" s="14" t="s">
        <v>16</v>
      </c>
      <c r="S4" s="16" t="str">
        <f aca="false">IF(K4="","",IF(AND(K4&lt;=45,OR(J4="Já existe verba aprovada para esse tema",J4="Entra no orçamento do próximo ciclo")),"Alta",IF(OR(K4&lt;=45,J4="Já existe verba aprovada para esse tema"),"Média","Baixa")))</f>
        <v>Alta</v>
      </c>
      <c r="T4" s="14" t="n">
        <v>168</v>
      </c>
      <c r="U4" s="14" t="s">
        <v>69</v>
      </c>
      <c r="V4" s="14" t="s">
        <v>70</v>
      </c>
      <c r="W4" s="14" t="s">
        <v>71</v>
      </c>
      <c r="X4" s="14"/>
      <c r="Y4" s="14"/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6" t="str">
        <f aca="false">IF(K5="","",IF(AND(K5&lt;=45,OR(J5="Já existe verba aprovada para esse tema",J5="Entra no orçamento do próximo ciclo")),"Alta",IF(OR(K5&lt;=45,J5="Já existe verba aprovada para esse tema"),"Média","Baixa")))</f>
        <v/>
      </c>
      <c r="T5" s="17"/>
      <c r="U5" s="17"/>
      <c r="V5" s="17"/>
      <c r="W5" s="17"/>
      <c r="X5" s="17"/>
      <c r="Y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6" t="str">
        <f aca="false">IF(K6="","",IF(AND(K6&lt;=45,OR(J6="Já existe verba aprovada para esse tema",J6="Entra no orçamento do próximo ciclo")),"Alta",IF(OR(K6&lt;=45,J6="Já existe verba aprovada para esse tema"),"Média","Baixa")))</f>
        <v/>
      </c>
      <c r="T6" s="17"/>
      <c r="U6" s="17"/>
      <c r="V6" s="17"/>
      <c r="W6" s="17"/>
      <c r="X6" s="17"/>
      <c r="Y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6" t="str">
        <f aca="false">IF(K7="","",IF(AND(K7&lt;=45,OR(J7="Já existe verba aprovada para esse tema",J7="Entra no orçamento do próximo ciclo")),"Alta",IF(OR(K7&lt;=45,J7="Já existe verba aprovada para esse tema"),"Média","Baixa")))</f>
        <v/>
      </c>
      <c r="T7" s="17"/>
      <c r="U7" s="17"/>
      <c r="V7" s="17"/>
      <c r="W7" s="17"/>
      <c r="X7" s="17"/>
      <c r="Y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6" t="str">
        <f aca="false">IF(K8="","",IF(AND(K8&lt;=45,OR(J8="Já existe verba aprovada para esse tema",J8="Entra no orçamento do próximo ciclo")),"Alta",IF(OR(K8&lt;=45,J8="Já existe verba aprovada para esse tema"),"Média","Baixa")))</f>
        <v/>
      </c>
      <c r="T8" s="17"/>
      <c r="U8" s="17"/>
      <c r="V8" s="17"/>
      <c r="W8" s="17"/>
      <c r="X8" s="17"/>
      <c r="Y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6" t="str">
        <f aca="false">IF(K9="","",IF(AND(K9&lt;=45,OR(J9="Já existe verba aprovada para esse tema",J9="Entra no orçamento do próximo ciclo")),"Alta",IF(OR(K9&lt;=45,J9="Já existe verba aprovada para esse tema"),"Média","Baixa")))</f>
        <v/>
      </c>
      <c r="T9" s="17"/>
      <c r="U9" s="17"/>
      <c r="V9" s="17"/>
      <c r="W9" s="17"/>
      <c r="X9" s="17"/>
      <c r="Y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6" t="str">
        <f aca="false">IF(K10="","",IF(AND(K10&lt;=45,OR(J10="Já existe verba aprovada para esse tema",J10="Entra no orçamento do próximo ciclo")),"Alta",IF(OR(K10&lt;=45,J10="Já existe verba aprovada para esse tema"),"Média","Baixa")))</f>
        <v/>
      </c>
      <c r="T10" s="17"/>
      <c r="U10" s="17"/>
      <c r="V10" s="17"/>
      <c r="W10" s="17"/>
      <c r="X10" s="17"/>
      <c r="Y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6" t="str">
        <f aca="false">IF(K11="","",IF(AND(K11&lt;=45,OR(J11="Já existe verba aprovada para esse tema",J11="Entra no orçamento do próximo ciclo")),"Alta",IF(OR(K11&lt;=45,J11="Já existe verba aprovada para esse tema"),"Média","Baixa")))</f>
        <v/>
      </c>
      <c r="T11" s="17"/>
      <c r="U11" s="17"/>
      <c r="V11" s="17"/>
      <c r="W11" s="17"/>
      <c r="X11" s="17"/>
      <c r="Y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6" t="str">
        <f aca="false">IF(K12="","",IF(AND(K12&lt;=45,OR(J12="Já existe verba aprovada para esse tema",J12="Entra no orçamento do próximo ciclo")),"Alta",IF(OR(K12&lt;=45,J12="Já existe verba aprovada para esse tema"),"Média","Baixa")))</f>
        <v/>
      </c>
      <c r="T12" s="17"/>
      <c r="U12" s="17"/>
      <c r="V12" s="17"/>
      <c r="W12" s="17"/>
      <c r="X12" s="17"/>
      <c r="Y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6" t="str">
        <f aca="false">IF(K13="","",IF(AND(K13&lt;=45,OR(J13="Já existe verba aprovada para esse tema",J13="Entra no orçamento do próximo ciclo")),"Alta",IF(OR(K13&lt;=45,J13="Já existe verba aprovada para esse tema"),"Média","Baixa")))</f>
        <v/>
      </c>
      <c r="T13" s="17"/>
      <c r="U13" s="17"/>
      <c r="V13" s="17"/>
      <c r="W13" s="17"/>
      <c r="X13" s="17"/>
      <c r="Y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6" t="str">
        <f aca="false">IF(K14="","",IF(AND(K14&lt;=45,OR(J14="Já existe verba aprovada para esse tema",J14="Entra no orçamento do próximo ciclo")),"Alta",IF(OR(K14&lt;=45,J14="Já existe verba aprovada para esse tema"),"Média","Baixa")))</f>
        <v/>
      </c>
      <c r="T14" s="17"/>
      <c r="U14" s="17"/>
      <c r="V14" s="17"/>
      <c r="W14" s="17"/>
      <c r="X14" s="17"/>
      <c r="Y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6" t="str">
        <f aca="false">IF(K15="","",IF(AND(K15&lt;=45,OR(J15="Já existe verba aprovada para esse tema",J15="Entra no orçamento do próximo ciclo")),"Alta",IF(OR(K15&lt;=45,J15="Já existe verba aprovada para esse tema"),"Média","Baixa")))</f>
        <v/>
      </c>
      <c r="T15" s="17"/>
      <c r="U15" s="17"/>
      <c r="V15" s="17"/>
      <c r="W15" s="17"/>
      <c r="X15" s="17"/>
      <c r="Y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6" t="str">
        <f aca="false">IF(K16="","",IF(AND(K16&lt;=45,OR(J16="Já existe verba aprovada para esse tema",J16="Entra no orçamento do próximo ciclo")),"Alta",IF(OR(K16&lt;=45,J16="Já existe verba aprovada para esse tema"),"Média","Baixa")))</f>
        <v/>
      </c>
      <c r="T16" s="17"/>
      <c r="U16" s="17"/>
      <c r="V16" s="17"/>
      <c r="W16" s="17"/>
      <c r="X16" s="17"/>
      <c r="Y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6" t="str">
        <f aca="false">IF(K17="","",IF(AND(K17&lt;=45,OR(J17="Já existe verba aprovada para esse tema",J17="Entra no orçamento do próximo ciclo")),"Alta",IF(OR(K17&lt;=45,J17="Já existe verba aprovada para esse tema"),"Média","Baixa")))</f>
        <v/>
      </c>
      <c r="T17" s="17"/>
      <c r="U17" s="17"/>
      <c r="V17" s="17"/>
      <c r="W17" s="17"/>
      <c r="X17" s="17"/>
      <c r="Y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6" t="str">
        <f aca="false">IF(K18="","",IF(AND(K18&lt;=45,OR(J18="Já existe verba aprovada para esse tema",J18="Entra no orçamento do próximo ciclo")),"Alta",IF(OR(K18&lt;=45,J18="Já existe verba aprovada para esse tema"),"Média","Baixa")))</f>
        <v/>
      </c>
      <c r="T18" s="17"/>
      <c r="U18" s="17"/>
      <c r="V18" s="17"/>
      <c r="W18" s="17"/>
      <c r="X18" s="17"/>
      <c r="Y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 t="str">
        <f aca="false">IF(K19="","",IF(AND(K19&lt;=45,OR(J19="Já existe verba aprovada para esse tema",J19="Entra no orçamento do próximo ciclo")),"Alta",IF(OR(K19&lt;=45,J19="Já existe verba aprovada para esse tema"),"Média","Baixa")))</f>
        <v/>
      </c>
      <c r="T19" s="17"/>
      <c r="U19" s="17"/>
      <c r="V19" s="17"/>
      <c r="W19" s="17"/>
      <c r="X19" s="17"/>
      <c r="Y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6" t="str">
        <f aca="false">IF(K20="","",IF(AND(K20&lt;=45,OR(J20="Já existe verba aprovada para esse tema",J20="Entra no orçamento do próximo ciclo")),"Alta",IF(OR(K20&lt;=45,J20="Já existe verba aprovada para esse tema"),"Média","Baixa")))</f>
        <v/>
      </c>
      <c r="T20" s="17"/>
      <c r="U20" s="17"/>
      <c r="V20" s="17"/>
      <c r="W20" s="17"/>
      <c r="X20" s="17"/>
      <c r="Y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6" t="str">
        <f aca="false">IF(K21="","",IF(AND(K21&lt;=45,OR(J21="Já existe verba aprovada para esse tema",J21="Entra no orçamento do próximo ciclo")),"Alta",IF(OR(K21&lt;=45,J21="Já existe verba aprovada para esse tema"),"Média","Baixa")))</f>
        <v/>
      </c>
      <c r="T21" s="17"/>
      <c r="U21" s="17"/>
      <c r="V21" s="17"/>
      <c r="W21" s="17"/>
      <c r="X21" s="17"/>
      <c r="Y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6" t="str">
        <f aca="false">IF(K22="","",IF(AND(K22&lt;=45,OR(J22="Já existe verba aprovada para esse tema",J22="Entra no orçamento do próximo ciclo")),"Alta",IF(OR(K22&lt;=45,J22="Já existe verba aprovada para esse tema"),"Média","Baixa")))</f>
        <v/>
      </c>
      <c r="T22" s="17"/>
      <c r="U22" s="17"/>
      <c r="V22" s="17"/>
      <c r="W22" s="17"/>
      <c r="X22" s="17"/>
      <c r="Y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6" t="str">
        <f aca="false">IF(K23="","",IF(AND(K23&lt;=45,OR(J23="Já existe verba aprovada para esse tema",J23="Entra no orçamento do próximo ciclo")),"Alta",IF(OR(K23&lt;=45,J23="Já existe verba aprovada para esse tema"),"Média","Baixa")))</f>
        <v/>
      </c>
      <c r="T23" s="17"/>
      <c r="U23" s="17"/>
      <c r="V23" s="17"/>
      <c r="W23" s="17"/>
      <c r="X23" s="17"/>
      <c r="Y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6" t="str">
        <f aca="false">IF(K24="","",IF(AND(K24&lt;=45,OR(J24="Já existe verba aprovada para esse tema",J24="Entra no orçamento do próximo ciclo")),"Alta",IF(OR(K24&lt;=45,J24="Já existe verba aprovada para esse tema"),"Média","Baixa")))</f>
        <v/>
      </c>
      <c r="T24" s="17"/>
      <c r="U24" s="17"/>
      <c r="V24" s="17"/>
      <c r="W24" s="17"/>
      <c r="X24" s="17"/>
      <c r="Y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6" t="str">
        <f aca="false">IF(K25="","",IF(AND(K25&lt;=45,OR(J25="Já existe verba aprovada para esse tema",J25="Entra no orçamento do próximo ciclo")),"Alta",IF(OR(K25&lt;=45,J25="Já existe verba aprovada para esse tema"),"Média","Baixa")))</f>
        <v/>
      </c>
      <c r="T25" s="17"/>
      <c r="U25" s="17"/>
      <c r="V25" s="17"/>
      <c r="W25" s="17"/>
      <c r="X25" s="17"/>
      <c r="Y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6" t="str">
        <f aca="false">IF(K26="","",IF(AND(K26&lt;=45,OR(J26="Já existe verba aprovada para esse tema",J26="Entra no orçamento do próximo ciclo")),"Alta",IF(OR(K26&lt;=45,J26="Já existe verba aprovada para esse tema"),"Média","Baixa")))</f>
        <v/>
      </c>
      <c r="T26" s="17"/>
      <c r="U26" s="17"/>
      <c r="V26" s="17"/>
      <c r="W26" s="17"/>
      <c r="X26" s="17"/>
      <c r="Y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6" t="str">
        <f aca="false">IF(K27="","",IF(AND(K27&lt;=45,OR(J27="Já existe verba aprovada para esse tema",J27="Entra no orçamento do próximo ciclo")),"Alta",IF(OR(K27&lt;=45,J27="Já existe verba aprovada para esse tema"),"Média","Baixa")))</f>
        <v/>
      </c>
      <c r="T27" s="17"/>
      <c r="U27" s="17"/>
      <c r="V27" s="17"/>
      <c r="W27" s="17"/>
      <c r="X27" s="17"/>
      <c r="Y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6" t="str">
        <f aca="false">IF(K28="","",IF(AND(K28&lt;=45,OR(J28="Já existe verba aprovada para esse tema",J28="Entra no orçamento do próximo ciclo")),"Alta",IF(OR(K28&lt;=45,J28="Já existe verba aprovada para esse tema"),"Média","Baixa")))</f>
        <v/>
      </c>
      <c r="T28" s="17"/>
      <c r="U28" s="17"/>
      <c r="V28" s="17"/>
      <c r="W28" s="17"/>
      <c r="X28" s="17"/>
      <c r="Y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6" t="str">
        <f aca="false">IF(K29="","",IF(AND(K29&lt;=45,OR(J29="Já existe verba aprovada para esse tema",J29="Entra no orçamento do próximo ciclo")),"Alta",IF(OR(K29&lt;=45,J29="Já existe verba aprovada para esse tema"),"Média","Baixa")))</f>
        <v/>
      </c>
      <c r="T29" s="17"/>
      <c r="U29" s="17"/>
      <c r="V29" s="17"/>
      <c r="W29" s="17"/>
      <c r="X29" s="17"/>
      <c r="Y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6" t="str">
        <f aca="false">IF(K30="","",IF(AND(K30&lt;=45,OR(J30="Já existe verba aprovada para esse tema",J30="Entra no orçamento do próximo ciclo")),"Alta",IF(OR(K30&lt;=45,J30="Já existe verba aprovada para esse tema"),"Média","Baixa")))</f>
        <v/>
      </c>
      <c r="T30" s="17"/>
      <c r="U30" s="17"/>
      <c r="V30" s="17"/>
      <c r="W30" s="17"/>
      <c r="X30" s="17"/>
      <c r="Y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6" t="str">
        <f aca="false">IF(K31="","",IF(AND(K31&lt;=45,OR(J31="Já existe verba aprovada para esse tema",J31="Entra no orçamento do próximo ciclo")),"Alta",IF(OR(K31&lt;=45,J31="Já existe verba aprovada para esse tema"),"Média","Baixa")))</f>
        <v/>
      </c>
      <c r="T31" s="17"/>
      <c r="U31" s="17"/>
      <c r="V31" s="17"/>
      <c r="W31" s="17"/>
      <c r="X31" s="17"/>
      <c r="Y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6" t="str">
        <f aca="false">IF(K32="","",IF(AND(K32&lt;=45,OR(J32="Já existe verba aprovada para esse tema",J32="Entra no orçamento do próximo ciclo")),"Alta",IF(OR(K32&lt;=45,J32="Já existe verba aprovada para esse tema"),"Média","Baixa")))</f>
        <v/>
      </c>
      <c r="T32" s="17"/>
      <c r="U32" s="17"/>
      <c r="V32" s="17"/>
      <c r="W32" s="17"/>
      <c r="X32" s="17"/>
      <c r="Y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6" t="str">
        <f aca="false">IF(K33="","",IF(AND(K33&lt;=45,OR(J33="Já existe verba aprovada para esse tema",J33="Entra no orçamento do próximo ciclo")),"Alta",IF(OR(K33&lt;=45,J33="Já existe verba aprovada para esse tema"),"Média","Baixa")))</f>
        <v/>
      </c>
      <c r="T33" s="17"/>
      <c r="U33" s="17"/>
      <c r="V33" s="17"/>
      <c r="W33" s="17"/>
      <c r="X33" s="17"/>
      <c r="Y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6" t="str">
        <f aca="false">IF(K34="","",IF(AND(K34&lt;=45,OR(J34="Já existe verba aprovada para esse tema",J34="Entra no orçamento do próximo ciclo")),"Alta",IF(OR(K34&lt;=45,J34="Já existe verba aprovada para esse tema"),"Média","Baixa")))</f>
        <v/>
      </c>
      <c r="T34" s="17"/>
      <c r="U34" s="17"/>
      <c r="V34" s="17"/>
      <c r="W34" s="17"/>
      <c r="X34" s="17"/>
      <c r="Y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6" t="str">
        <f aca="false">IF(K35="","",IF(AND(K35&lt;=45,OR(J35="Já existe verba aprovada para esse tema",J35="Entra no orçamento do próximo ciclo")),"Alta",IF(OR(K35&lt;=45,J35="Já existe verba aprovada para esse tema"),"Média","Baixa")))</f>
        <v/>
      </c>
      <c r="T35" s="17"/>
      <c r="U35" s="17"/>
      <c r="V35" s="17"/>
      <c r="W35" s="17"/>
      <c r="X35" s="17"/>
      <c r="Y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6" t="str">
        <f aca="false">IF(K36="","",IF(AND(K36&lt;=45,OR(J36="Já existe verba aprovada para esse tema",J36="Entra no orçamento do próximo ciclo")),"Alta",IF(OR(K36&lt;=45,J36="Já existe verba aprovada para esse tema"),"Média","Baixa")))</f>
        <v/>
      </c>
      <c r="T36" s="17"/>
      <c r="U36" s="17"/>
      <c r="V36" s="17"/>
      <c r="W36" s="17"/>
      <c r="X36" s="17"/>
      <c r="Y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6" t="str">
        <f aca="false">IF(K37="","",IF(AND(K37&lt;=45,OR(J37="Já existe verba aprovada para esse tema",J37="Entra no orçamento do próximo ciclo")),"Alta",IF(OR(K37&lt;=45,J37="Já existe verba aprovada para esse tema"),"Média","Baixa")))</f>
        <v/>
      </c>
      <c r="T37" s="17"/>
      <c r="U37" s="17"/>
      <c r="V37" s="17"/>
      <c r="W37" s="17"/>
      <c r="X37" s="17"/>
      <c r="Y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6" t="str">
        <f aca="false">IF(K38="","",IF(AND(K38&lt;=45,OR(J38="Já existe verba aprovada para esse tema",J38="Entra no orçamento do próximo ciclo")),"Alta",IF(OR(K38&lt;=45,J38="Já existe verba aprovada para esse tema"),"Média","Baixa")))</f>
        <v/>
      </c>
      <c r="T38" s="17"/>
      <c r="U38" s="17"/>
      <c r="V38" s="17"/>
      <c r="W38" s="17"/>
      <c r="X38" s="17"/>
      <c r="Y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6" t="str">
        <f aca="false">IF(K39="","",IF(AND(K39&lt;=45,OR(J39="Já existe verba aprovada para esse tema",J39="Entra no orçamento do próximo ciclo")),"Alta",IF(OR(K39&lt;=45,J39="Já existe verba aprovada para esse tema"),"Média","Baixa")))</f>
        <v/>
      </c>
      <c r="T39" s="17"/>
      <c r="U39" s="17"/>
      <c r="V39" s="17"/>
      <c r="W39" s="17"/>
      <c r="X39" s="17"/>
      <c r="Y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6" t="str">
        <f aca="false">IF(K40="","",IF(AND(K40&lt;=45,OR(J40="Já existe verba aprovada para esse tema",J40="Entra no orçamento do próximo ciclo")),"Alta",IF(OR(K40&lt;=45,J40="Já existe verba aprovada para esse tema"),"Média","Baixa")))</f>
        <v/>
      </c>
      <c r="T40" s="17"/>
      <c r="U40" s="17"/>
      <c r="V40" s="17"/>
      <c r="W40" s="17"/>
      <c r="X40" s="17"/>
      <c r="Y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6" t="str">
        <f aca="false">IF(K41="","",IF(AND(K41&lt;=45,OR(J41="Já existe verba aprovada para esse tema",J41="Entra no orçamento do próximo ciclo")),"Alta",IF(OR(K41&lt;=45,J41="Já existe verba aprovada para esse tema"),"Média","Baixa")))</f>
        <v/>
      </c>
      <c r="T41" s="17"/>
      <c r="U41" s="17"/>
      <c r="V41" s="17"/>
      <c r="W41" s="17"/>
      <c r="X41" s="17"/>
      <c r="Y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6" t="str">
        <f aca="false">IF(K42="","",IF(AND(K42&lt;=45,OR(J42="Já existe verba aprovada para esse tema",J42="Entra no orçamento do próximo ciclo")),"Alta",IF(OR(K42&lt;=45,J42="Já existe verba aprovada para esse tema"),"Média","Baixa")))</f>
        <v/>
      </c>
      <c r="T42" s="17"/>
      <c r="U42" s="17"/>
      <c r="V42" s="17"/>
      <c r="W42" s="17"/>
      <c r="X42" s="17"/>
      <c r="Y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6" t="str">
        <f aca="false">IF(K43="","",IF(AND(K43&lt;=45,OR(J43="Já existe verba aprovada para esse tema",J43="Entra no orçamento do próximo ciclo")),"Alta",IF(OR(K43&lt;=45,J43="Já existe verba aprovada para esse tema"),"Média","Baixa")))</f>
        <v/>
      </c>
      <c r="T43" s="17"/>
      <c r="U43" s="17"/>
      <c r="V43" s="17"/>
      <c r="W43" s="17"/>
      <c r="X43" s="17"/>
      <c r="Y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6" t="str">
        <f aca="false">IF(K44="","",IF(AND(K44&lt;=45,OR(J44="Já existe verba aprovada para esse tema",J44="Entra no orçamento do próximo ciclo")),"Alta",IF(OR(K44&lt;=45,J44="Já existe verba aprovada para esse tema"),"Média","Baixa")))</f>
        <v/>
      </c>
      <c r="T44" s="17"/>
      <c r="U44" s="17"/>
      <c r="V44" s="17"/>
      <c r="W44" s="17"/>
      <c r="X44" s="17"/>
      <c r="Y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6" t="str">
        <f aca="false">IF(K45="","",IF(AND(K45&lt;=45,OR(J45="Já existe verba aprovada para esse tema",J45="Entra no orçamento do próximo ciclo")),"Alta",IF(OR(K45&lt;=45,J45="Já existe verba aprovada para esse tema"),"Média","Baixa")))</f>
        <v/>
      </c>
      <c r="T45" s="17"/>
      <c r="U45" s="17"/>
      <c r="V45" s="17"/>
      <c r="W45" s="17"/>
      <c r="X45" s="17"/>
      <c r="Y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6" t="str">
        <f aca="false">IF(K46="","",IF(AND(K46&lt;=45,OR(J46="Já existe verba aprovada para esse tema",J46="Entra no orçamento do próximo ciclo")),"Alta",IF(OR(K46&lt;=45,J46="Já existe verba aprovada para esse tema"),"Média","Baixa")))</f>
        <v/>
      </c>
      <c r="T46" s="17"/>
      <c r="U46" s="17"/>
      <c r="V46" s="17"/>
      <c r="W46" s="17"/>
      <c r="X46" s="17"/>
      <c r="Y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6" t="str">
        <f aca="false">IF(K47="","",IF(AND(K47&lt;=45,OR(J47="Já existe verba aprovada para esse tema",J47="Entra no orçamento do próximo ciclo")),"Alta",IF(OR(K47&lt;=45,J47="Já existe verba aprovada para esse tema"),"Média","Baixa")))</f>
        <v/>
      </c>
      <c r="T47" s="17"/>
      <c r="U47" s="17"/>
      <c r="V47" s="17"/>
      <c r="W47" s="17"/>
      <c r="X47" s="17"/>
      <c r="Y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6" t="str">
        <f aca="false">IF(K48="","",IF(AND(K48&lt;=45,OR(J48="Já existe verba aprovada para esse tema",J48="Entra no orçamento do próximo ciclo")),"Alta",IF(OR(K48&lt;=45,J48="Já existe verba aprovada para esse tema"),"Média","Baixa")))</f>
        <v/>
      </c>
      <c r="T48" s="17"/>
      <c r="U48" s="17"/>
      <c r="V48" s="17"/>
      <c r="W48" s="17"/>
      <c r="X48" s="17"/>
      <c r="Y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6" t="str">
        <f aca="false">IF(K49="","",IF(AND(K49&lt;=45,OR(J49="Já existe verba aprovada para esse tema",J49="Entra no orçamento do próximo ciclo")),"Alta",IF(OR(K49&lt;=45,J49="Já existe verba aprovada para esse tema"),"Média","Baixa")))</f>
        <v/>
      </c>
      <c r="T49" s="17"/>
      <c r="U49" s="17"/>
      <c r="V49" s="17"/>
      <c r="W49" s="17"/>
      <c r="X49" s="17"/>
      <c r="Y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6" t="str">
        <f aca="false">IF(K50="","",IF(AND(K50&lt;=45,OR(J50="Já existe verba aprovada para esse tema",J50="Entra no orçamento do próximo ciclo")),"Alta",IF(OR(K50&lt;=45,J50="Já existe verba aprovada para esse tema"),"Média","Baixa")))</f>
        <v/>
      </c>
      <c r="T50" s="17"/>
      <c r="U50" s="17"/>
      <c r="V50" s="17"/>
      <c r="W50" s="17"/>
      <c r="X50" s="17"/>
      <c r="Y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6" t="str">
        <f aca="false">IF(K51="","",IF(AND(K51&lt;=45,OR(J51="Já existe verba aprovada para esse tema",J51="Entra no orçamento do próximo ciclo")),"Alta",IF(OR(K51&lt;=45,J51="Já existe verba aprovada para esse tema"),"Média","Baixa")))</f>
        <v/>
      </c>
      <c r="T51" s="17"/>
      <c r="U51" s="17"/>
      <c r="V51" s="17"/>
      <c r="W51" s="17"/>
      <c r="X51" s="17"/>
      <c r="Y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6" t="str">
        <f aca="false">IF(K52="","",IF(AND(K52&lt;=45,OR(J52="Já existe verba aprovada para esse tema",J52="Entra no orçamento do próximo ciclo")),"Alta",IF(OR(K52&lt;=45,J52="Já existe verba aprovada para esse tema"),"Média","Baixa")))</f>
        <v/>
      </c>
      <c r="T52" s="17"/>
      <c r="U52" s="17"/>
      <c r="V52" s="17"/>
      <c r="W52" s="17"/>
      <c r="X52" s="17"/>
      <c r="Y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6" t="str">
        <f aca="false">IF(K53="","",IF(AND(K53&lt;=45,OR(J53="Já existe verba aprovada para esse tema",J53="Entra no orçamento do próximo ciclo")),"Alta",IF(OR(K53&lt;=45,J53="Já existe verba aprovada para esse tema"),"Média","Baixa")))</f>
        <v/>
      </c>
      <c r="T53" s="17"/>
      <c r="U53" s="17"/>
      <c r="V53" s="17"/>
      <c r="W53" s="17"/>
      <c r="X53" s="17"/>
      <c r="Y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6" t="str">
        <f aca="false">IF(K54="","",IF(AND(K54&lt;=45,OR(J54="Já existe verba aprovada para esse tema",J54="Entra no orçamento do próximo ciclo")),"Alta",IF(OR(K54&lt;=45,J54="Já existe verba aprovada para esse tema"),"Média","Baixa")))</f>
        <v/>
      </c>
      <c r="T54" s="17"/>
      <c r="U54" s="17"/>
      <c r="V54" s="17"/>
      <c r="W54" s="17"/>
      <c r="X54" s="17"/>
      <c r="Y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6" t="str">
        <f aca="false">IF(K55="","",IF(AND(K55&lt;=45,OR(J55="Já existe verba aprovada para esse tema",J55="Entra no orçamento do próximo ciclo")),"Alta",IF(OR(K55&lt;=45,J55="Já existe verba aprovada para esse tema"),"Média","Baixa")))</f>
        <v/>
      </c>
      <c r="T55" s="17"/>
      <c r="U55" s="17"/>
      <c r="V55" s="17"/>
      <c r="W55" s="17"/>
      <c r="X55" s="17"/>
      <c r="Y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 t="str">
        <f aca="false">IF(K56="","",IF(AND(K56&lt;=45,OR(J56="Já existe verba aprovada para esse tema",J56="Entra no orçamento do próximo ciclo")),"Alta",IF(OR(K56&lt;=45,J56="Já existe verba aprovada para esse tema"),"Média","Baixa")))</f>
        <v/>
      </c>
      <c r="T56" s="17"/>
      <c r="U56" s="17"/>
      <c r="V56" s="17"/>
      <c r="W56" s="17"/>
      <c r="X56" s="17"/>
      <c r="Y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6" t="str">
        <f aca="false">IF(K57="","",IF(AND(K57&lt;=45,OR(J57="Já existe verba aprovada para esse tema",J57="Entra no orçamento do próximo ciclo")),"Alta",IF(OR(K57&lt;=45,J57="Já existe verba aprovada para esse tema"),"Média","Baixa")))</f>
        <v/>
      </c>
      <c r="T57" s="17"/>
      <c r="U57" s="17"/>
      <c r="V57" s="17"/>
      <c r="W57" s="17"/>
      <c r="X57" s="17"/>
      <c r="Y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6" t="str">
        <f aca="false">IF(K58="","",IF(AND(K58&lt;=45,OR(J58="Já existe verba aprovada para esse tema",J58="Entra no orçamento do próximo ciclo")),"Alta",IF(OR(K58&lt;=45,J58="Já existe verba aprovada para esse tema"),"Média","Baixa")))</f>
        <v/>
      </c>
      <c r="T58" s="17"/>
      <c r="U58" s="17"/>
      <c r="V58" s="17"/>
      <c r="W58" s="17"/>
      <c r="X58" s="17"/>
      <c r="Y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6" t="str">
        <f aca="false">IF(K59="","",IF(AND(K59&lt;=45,OR(J59="Já existe verba aprovada para esse tema",J59="Entra no orçamento do próximo ciclo")),"Alta",IF(OR(K59&lt;=45,J59="Já existe verba aprovada para esse tema"),"Média","Baixa")))</f>
        <v/>
      </c>
      <c r="T59" s="17"/>
      <c r="U59" s="17"/>
      <c r="V59" s="17"/>
      <c r="W59" s="17"/>
      <c r="X59" s="17"/>
      <c r="Y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6" t="str">
        <f aca="false">IF(K60="","",IF(AND(K60&lt;=45,OR(J60="Já existe verba aprovada para esse tema",J60="Entra no orçamento do próximo ciclo")),"Alta",IF(OR(K60&lt;=45,J60="Já existe verba aprovada para esse tema"),"Média","Baixa")))</f>
        <v/>
      </c>
      <c r="T60" s="17"/>
      <c r="U60" s="17"/>
      <c r="V60" s="17"/>
      <c r="W60" s="17"/>
      <c r="X60" s="17"/>
      <c r="Y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6" t="str">
        <f aca="false">IF(K61="","",IF(AND(K61&lt;=45,OR(J61="Já existe verba aprovada para esse tema",J61="Entra no orçamento do próximo ciclo")),"Alta",IF(OR(K61&lt;=45,J61="Já existe verba aprovada para esse tema"),"Média","Baixa")))</f>
        <v/>
      </c>
      <c r="T61" s="17"/>
      <c r="U61" s="17"/>
      <c r="V61" s="17"/>
      <c r="W61" s="17"/>
      <c r="X61" s="17"/>
      <c r="Y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6" t="str">
        <f aca="false">IF(K62="","",IF(AND(K62&lt;=45,OR(J62="Já existe verba aprovada para esse tema",J62="Entra no orçamento do próximo ciclo")),"Alta",IF(OR(K62&lt;=45,J62="Já existe verba aprovada para esse tema"),"Média","Baixa")))</f>
        <v/>
      </c>
      <c r="T62" s="17"/>
      <c r="U62" s="17"/>
      <c r="V62" s="17"/>
      <c r="W62" s="17"/>
      <c r="X62" s="17"/>
      <c r="Y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6" t="str">
        <f aca="false">IF(K63="","",IF(AND(K63&lt;=45,OR(J63="Já existe verba aprovada para esse tema",J63="Entra no orçamento do próximo ciclo")),"Alta",IF(OR(K63&lt;=45,J63="Já existe verba aprovada para esse tema"),"Média","Baixa")))</f>
        <v/>
      </c>
      <c r="T63" s="17"/>
      <c r="U63" s="17"/>
      <c r="V63" s="17"/>
      <c r="W63" s="17"/>
      <c r="X63" s="17"/>
      <c r="Y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6" t="str">
        <f aca="false">IF(K64="","",IF(AND(K64&lt;=45,OR(J64="Já existe verba aprovada para esse tema",J64="Entra no orçamento do próximo ciclo")),"Alta",IF(OR(K64&lt;=45,J64="Já existe verba aprovada para esse tema"),"Média","Baixa")))</f>
        <v/>
      </c>
      <c r="T64" s="17"/>
      <c r="U64" s="17"/>
      <c r="V64" s="17"/>
      <c r="W64" s="17"/>
      <c r="X64" s="17"/>
      <c r="Y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6" t="str">
        <f aca="false">IF(K65="","",IF(AND(K65&lt;=45,OR(J65="Já existe verba aprovada para esse tema",J65="Entra no orçamento do próximo ciclo")),"Alta",IF(OR(K65&lt;=45,J65="Já existe verba aprovada para esse tema"),"Média","Baixa")))</f>
        <v/>
      </c>
      <c r="T65" s="17"/>
      <c r="U65" s="17"/>
      <c r="V65" s="17"/>
      <c r="W65" s="17"/>
      <c r="X65" s="17"/>
      <c r="Y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6" t="str">
        <f aca="false">IF(K66="","",IF(AND(K66&lt;=45,OR(J66="Já existe verba aprovada para esse tema",J66="Entra no orçamento do próximo ciclo")),"Alta",IF(OR(K66&lt;=45,J66="Já existe verba aprovada para esse tema"),"Média","Baixa")))</f>
        <v/>
      </c>
      <c r="T66" s="17"/>
      <c r="U66" s="17"/>
      <c r="V66" s="17"/>
      <c r="W66" s="17"/>
      <c r="X66" s="17"/>
      <c r="Y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6" t="str">
        <f aca="false">IF(K67="","",IF(AND(K67&lt;=45,OR(J67="Já existe verba aprovada para esse tema",J67="Entra no orçamento do próximo ciclo")),"Alta",IF(OR(K67&lt;=45,J67="Já existe verba aprovada para esse tema"),"Média","Baixa")))</f>
        <v/>
      </c>
      <c r="T67" s="17"/>
      <c r="U67" s="17"/>
      <c r="V67" s="17"/>
      <c r="W67" s="17"/>
      <c r="X67" s="17"/>
      <c r="Y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6" t="str">
        <f aca="false">IF(K68="","",IF(AND(K68&lt;=45,OR(J68="Já existe verba aprovada para esse tema",J68="Entra no orçamento do próximo ciclo")),"Alta",IF(OR(K68&lt;=45,J68="Já existe verba aprovada para esse tema"),"Média","Baixa")))</f>
        <v/>
      </c>
      <c r="T68" s="17"/>
      <c r="U68" s="17"/>
      <c r="V68" s="17"/>
      <c r="W68" s="17"/>
      <c r="X68" s="17"/>
      <c r="Y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6" t="str">
        <f aca="false">IF(K69="","",IF(AND(K69&lt;=45,OR(J69="Já existe verba aprovada para esse tema",J69="Entra no orçamento do próximo ciclo")),"Alta",IF(OR(K69&lt;=45,J69="Já existe verba aprovada para esse tema"),"Média","Baixa")))</f>
        <v/>
      </c>
      <c r="T69" s="17"/>
      <c r="U69" s="17"/>
      <c r="V69" s="17"/>
      <c r="W69" s="17"/>
      <c r="X69" s="17"/>
      <c r="Y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6" t="str">
        <f aca="false">IF(K70="","",IF(AND(K70&lt;=45,OR(J70="Já existe verba aprovada para esse tema",J70="Entra no orçamento do próximo ciclo")),"Alta",IF(OR(K70&lt;=45,J70="Já existe verba aprovada para esse tema"),"Média","Baixa")))</f>
        <v/>
      </c>
      <c r="T70" s="17"/>
      <c r="U70" s="17"/>
      <c r="V70" s="17"/>
      <c r="W70" s="17"/>
      <c r="X70" s="17"/>
      <c r="Y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6" t="str">
        <f aca="false">IF(K71="","",IF(AND(K71&lt;=45,OR(J71="Já existe verba aprovada para esse tema",J71="Entra no orçamento do próximo ciclo")),"Alta",IF(OR(K71&lt;=45,J71="Já existe verba aprovada para esse tema"),"Média","Baixa")))</f>
        <v/>
      </c>
      <c r="T71" s="17"/>
      <c r="U71" s="17"/>
      <c r="V71" s="17"/>
      <c r="W71" s="17"/>
      <c r="X71" s="17"/>
      <c r="Y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6" t="str">
        <f aca="false">IF(K72="","",IF(AND(K72&lt;=45,OR(J72="Já existe verba aprovada para esse tema",J72="Entra no orçamento do próximo ciclo")),"Alta",IF(OR(K72&lt;=45,J72="Já existe verba aprovada para esse tema"),"Média","Baixa")))</f>
        <v/>
      </c>
      <c r="T72" s="17"/>
      <c r="U72" s="17"/>
      <c r="V72" s="17"/>
      <c r="W72" s="17"/>
      <c r="X72" s="17"/>
      <c r="Y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6" t="str">
        <f aca="false">IF(K73="","",IF(AND(K73&lt;=45,OR(J73="Já existe verba aprovada para esse tema",J73="Entra no orçamento do próximo ciclo")),"Alta",IF(OR(K73&lt;=45,J73="Já existe verba aprovada para esse tema"),"Média","Baixa")))</f>
        <v/>
      </c>
      <c r="T73" s="17"/>
      <c r="U73" s="17"/>
      <c r="V73" s="17"/>
      <c r="W73" s="17"/>
      <c r="X73" s="17"/>
      <c r="Y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6" t="str">
        <f aca="false">IF(K74="","",IF(AND(K74&lt;=45,OR(J74="Já existe verba aprovada para esse tema",J74="Entra no orçamento do próximo ciclo")),"Alta",IF(OR(K74&lt;=45,J74="Já existe verba aprovada para esse tema"),"Média","Baixa")))</f>
        <v/>
      </c>
      <c r="T74" s="17"/>
      <c r="U74" s="17"/>
      <c r="V74" s="17"/>
      <c r="W74" s="17"/>
      <c r="X74" s="17"/>
      <c r="Y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6" t="str">
        <f aca="false">IF(K75="","",IF(AND(K75&lt;=45,OR(J75="Já existe verba aprovada para esse tema",J75="Entra no orçamento do próximo ciclo")),"Alta",IF(OR(K75&lt;=45,J75="Já existe verba aprovada para esse tema"),"Média","Baixa")))</f>
        <v/>
      </c>
      <c r="T75" s="17"/>
      <c r="U75" s="17"/>
      <c r="V75" s="17"/>
      <c r="W75" s="17"/>
      <c r="X75" s="17"/>
      <c r="Y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6" t="str">
        <f aca="false">IF(K76="","",IF(AND(K76&lt;=45,OR(J76="Já existe verba aprovada para esse tema",J76="Entra no orçamento do próximo ciclo")),"Alta",IF(OR(K76&lt;=45,J76="Já existe verba aprovada para esse tema"),"Média","Baixa")))</f>
        <v/>
      </c>
      <c r="T76" s="17"/>
      <c r="U76" s="17"/>
      <c r="V76" s="17"/>
      <c r="W76" s="17"/>
      <c r="X76" s="17"/>
      <c r="Y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6" t="str">
        <f aca="false">IF(K77="","",IF(AND(K77&lt;=45,OR(J77="Já existe verba aprovada para esse tema",J77="Entra no orçamento do próximo ciclo")),"Alta",IF(OR(K77&lt;=45,J77="Já existe verba aprovada para esse tema"),"Média","Baixa")))</f>
        <v/>
      </c>
      <c r="T77" s="17"/>
      <c r="U77" s="17"/>
      <c r="V77" s="17"/>
      <c r="W77" s="17"/>
      <c r="X77" s="17"/>
      <c r="Y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6" t="str">
        <f aca="false">IF(K78="","",IF(AND(K78&lt;=45,OR(J78="Já existe verba aprovada para esse tema",J78="Entra no orçamento do próximo ciclo")),"Alta",IF(OR(K78&lt;=45,J78="Já existe verba aprovada para esse tema"),"Média","Baixa")))</f>
        <v/>
      </c>
      <c r="T78" s="17"/>
      <c r="U78" s="17"/>
      <c r="V78" s="17"/>
      <c r="W78" s="17"/>
      <c r="X78" s="17"/>
      <c r="Y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6" t="str">
        <f aca="false">IF(K79="","",IF(AND(K79&lt;=45,OR(J79="Já existe verba aprovada para esse tema",J79="Entra no orçamento do próximo ciclo")),"Alta",IF(OR(K79&lt;=45,J79="Já existe verba aprovada para esse tema"),"Média","Baixa")))</f>
        <v/>
      </c>
      <c r="T79" s="17"/>
      <c r="U79" s="17"/>
      <c r="V79" s="17"/>
      <c r="W79" s="17"/>
      <c r="X79" s="17"/>
      <c r="Y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6" t="str">
        <f aca="false">IF(K80="","",IF(AND(K80&lt;=45,OR(J80="Já existe verba aprovada para esse tema",J80="Entra no orçamento do próximo ciclo")),"Alta",IF(OR(K80&lt;=45,J80="Já existe verba aprovada para esse tema"),"Média","Baixa")))</f>
        <v/>
      </c>
      <c r="T80" s="17"/>
      <c r="U80" s="17"/>
      <c r="V80" s="17"/>
      <c r="W80" s="17"/>
      <c r="X80" s="17"/>
      <c r="Y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6" t="str">
        <f aca="false">IF(K81="","",IF(AND(K81&lt;=45,OR(J81="Já existe verba aprovada para esse tema",J81="Entra no orçamento do próximo ciclo")),"Alta",IF(OR(K81&lt;=45,J81="Já existe verba aprovada para esse tema"),"Média","Baixa")))</f>
        <v/>
      </c>
      <c r="T81" s="17"/>
      <c r="U81" s="17"/>
      <c r="V81" s="17"/>
      <c r="W81" s="17"/>
      <c r="X81" s="17"/>
      <c r="Y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6" t="str">
        <f aca="false">IF(K82="","",IF(AND(K82&lt;=45,OR(J82="Já existe verba aprovada para esse tema",J82="Entra no orçamento do próximo ciclo")),"Alta",IF(OR(K82&lt;=45,J82="Já existe verba aprovada para esse tema"),"Média","Baixa")))</f>
        <v/>
      </c>
      <c r="T82" s="17"/>
      <c r="U82" s="17"/>
      <c r="V82" s="17"/>
      <c r="W82" s="17"/>
      <c r="X82" s="17"/>
      <c r="Y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 t="str">
        <f aca="false">IF(K83="","",IF(AND(K83&lt;=45,OR(J83="Já existe verba aprovada para esse tema",J83="Entra no orçamento do próximo ciclo")),"Alta",IF(OR(K83&lt;=45,J83="Já existe verba aprovada para esse tema"),"Média","Baixa")))</f>
        <v/>
      </c>
      <c r="T83" s="17"/>
      <c r="U83" s="17"/>
      <c r="V83" s="17"/>
      <c r="W83" s="17"/>
      <c r="X83" s="17"/>
      <c r="Y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6" t="str">
        <f aca="false">IF(K84="","",IF(AND(K84&lt;=45,OR(J84="Já existe verba aprovada para esse tema",J84="Entra no orçamento do próximo ciclo")),"Alta",IF(OR(K84&lt;=45,J84="Já existe verba aprovada para esse tema"),"Média","Baixa")))</f>
        <v/>
      </c>
      <c r="T84" s="17"/>
      <c r="U84" s="17"/>
      <c r="V84" s="17"/>
      <c r="W84" s="17"/>
      <c r="X84" s="17"/>
      <c r="Y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6" t="str">
        <f aca="false">IF(K85="","",IF(AND(K85&lt;=45,OR(J85="Já existe verba aprovada para esse tema",J85="Entra no orçamento do próximo ciclo")),"Alta",IF(OR(K85&lt;=45,J85="Já existe verba aprovada para esse tema"),"Média","Baixa")))</f>
        <v/>
      </c>
      <c r="T85" s="17"/>
      <c r="U85" s="17"/>
      <c r="V85" s="17"/>
      <c r="W85" s="17"/>
      <c r="X85" s="17"/>
      <c r="Y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6" t="str">
        <f aca="false">IF(K86="","",IF(AND(K86&lt;=45,OR(J86="Já existe verba aprovada para esse tema",J86="Entra no orçamento do próximo ciclo")),"Alta",IF(OR(K86&lt;=45,J86="Já existe verba aprovada para esse tema"),"Média","Baixa")))</f>
        <v/>
      </c>
      <c r="T86" s="17"/>
      <c r="U86" s="17"/>
      <c r="V86" s="17"/>
      <c r="W86" s="17"/>
      <c r="X86" s="17"/>
      <c r="Y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6" t="str">
        <f aca="false">IF(K87="","",IF(AND(K87&lt;=45,OR(J87="Já existe verba aprovada para esse tema",J87="Entra no orçamento do próximo ciclo")),"Alta",IF(OR(K87&lt;=45,J87="Já existe verba aprovada para esse tema"),"Média","Baixa")))</f>
        <v/>
      </c>
      <c r="T87" s="17"/>
      <c r="U87" s="17"/>
      <c r="V87" s="17"/>
      <c r="W87" s="17"/>
      <c r="X87" s="17"/>
      <c r="Y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6" t="str">
        <f aca="false">IF(K88="","",IF(AND(K88&lt;=45,OR(J88="Já existe verba aprovada para esse tema",J88="Entra no orçamento do próximo ciclo")),"Alta",IF(OR(K88&lt;=45,J88="Já existe verba aprovada para esse tema"),"Média","Baixa")))</f>
        <v/>
      </c>
      <c r="T88" s="17"/>
      <c r="U88" s="17"/>
      <c r="V88" s="17"/>
      <c r="W88" s="17"/>
      <c r="X88" s="17"/>
      <c r="Y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6" t="str">
        <f aca="false">IF(K89="","",IF(AND(K89&lt;=45,OR(J89="Já existe verba aprovada para esse tema",J89="Entra no orçamento do próximo ciclo")),"Alta",IF(OR(K89&lt;=45,J89="Já existe verba aprovada para esse tema"),"Média","Baixa")))</f>
        <v/>
      </c>
      <c r="T89" s="17"/>
      <c r="U89" s="17"/>
      <c r="V89" s="17"/>
      <c r="W89" s="17"/>
      <c r="X89" s="17"/>
      <c r="Y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6" t="str">
        <f aca="false">IF(K90="","",IF(AND(K90&lt;=45,OR(J90="Já existe verba aprovada para esse tema",J90="Entra no orçamento do próximo ciclo")),"Alta",IF(OR(K90&lt;=45,J90="Já existe verba aprovada para esse tema"),"Média","Baixa")))</f>
        <v/>
      </c>
      <c r="T90" s="17"/>
      <c r="U90" s="17"/>
      <c r="V90" s="17"/>
      <c r="W90" s="17"/>
      <c r="X90" s="17"/>
      <c r="Y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6" t="str">
        <f aca="false">IF(K91="","",IF(AND(K91&lt;=45,OR(J91="Já existe verba aprovada para esse tema",J91="Entra no orçamento do próximo ciclo")),"Alta",IF(OR(K91&lt;=45,J91="Já existe verba aprovada para esse tema"),"Média","Baixa")))</f>
        <v/>
      </c>
      <c r="T91" s="17"/>
      <c r="U91" s="17"/>
      <c r="V91" s="17"/>
      <c r="W91" s="17"/>
      <c r="X91" s="17"/>
      <c r="Y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6" t="str">
        <f aca="false">IF(K92="","",IF(AND(K92&lt;=45,OR(J92="Já existe verba aprovada para esse tema",J92="Entra no orçamento do próximo ciclo")),"Alta",IF(OR(K92&lt;=45,J92="Já existe verba aprovada para esse tema"),"Média","Baixa")))</f>
        <v/>
      </c>
      <c r="T92" s="17"/>
      <c r="U92" s="17"/>
      <c r="V92" s="17"/>
      <c r="W92" s="17"/>
      <c r="X92" s="17"/>
      <c r="Y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6" t="str">
        <f aca="false">IF(K93="","",IF(AND(K93&lt;=45,OR(J93="Já existe verba aprovada para esse tema",J93="Entra no orçamento do próximo ciclo")),"Alta",IF(OR(K93&lt;=45,J93="Já existe verba aprovada para esse tema"),"Média","Baixa")))</f>
        <v/>
      </c>
      <c r="T93" s="17"/>
      <c r="U93" s="17"/>
      <c r="V93" s="17"/>
      <c r="W93" s="17"/>
      <c r="X93" s="17"/>
      <c r="Y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 t="str">
        <f aca="false">IF(K94="","",IF(AND(K94&lt;=45,OR(J94="Já existe verba aprovada para esse tema",J94="Entra no orçamento do próximo ciclo")),"Alta",IF(OR(K94&lt;=45,J94="Já existe verba aprovada para esse tema"),"Média","Baixa")))</f>
        <v/>
      </c>
      <c r="T94" s="17"/>
      <c r="U94" s="17"/>
      <c r="V94" s="17"/>
      <c r="W94" s="17"/>
      <c r="X94" s="17"/>
      <c r="Y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6" t="str">
        <f aca="false">IF(K95="","",IF(AND(K95&lt;=45,OR(J95="Já existe verba aprovada para esse tema",J95="Entra no orçamento do próximo ciclo")),"Alta",IF(OR(K95&lt;=45,J95="Já existe verba aprovada para esse tema"),"Média","Baixa")))</f>
        <v/>
      </c>
      <c r="T95" s="17"/>
      <c r="U95" s="17"/>
      <c r="V95" s="17"/>
      <c r="W95" s="17"/>
      <c r="X95" s="17"/>
      <c r="Y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6" t="str">
        <f aca="false">IF(K96="","",IF(AND(K96&lt;=45,OR(J96="Já existe verba aprovada para esse tema",J96="Entra no orçamento do próximo ciclo")),"Alta",IF(OR(K96&lt;=45,J96="Já existe verba aprovada para esse tema"),"Média","Baixa")))</f>
        <v/>
      </c>
      <c r="T96" s="17"/>
      <c r="U96" s="17"/>
      <c r="V96" s="17"/>
      <c r="W96" s="17"/>
      <c r="X96" s="17"/>
      <c r="Y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6" t="str">
        <f aca="false">IF(K97="","",IF(AND(K97&lt;=45,OR(J97="Já existe verba aprovada para esse tema",J97="Entra no orçamento do próximo ciclo")),"Alta",IF(OR(K97&lt;=45,J97="Já existe verba aprovada para esse tema"),"Média","Baixa")))</f>
        <v/>
      </c>
      <c r="T97" s="17"/>
      <c r="U97" s="17"/>
      <c r="V97" s="17"/>
      <c r="W97" s="17"/>
      <c r="X97" s="17"/>
      <c r="Y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6" t="str">
        <f aca="false">IF(K98="","",IF(AND(K98&lt;=45,OR(J98="Já existe verba aprovada para esse tema",J98="Entra no orçamento do próximo ciclo")),"Alta",IF(OR(K98&lt;=45,J98="Já existe verba aprovada para esse tema"),"Média","Baixa")))</f>
        <v/>
      </c>
      <c r="T98" s="17"/>
      <c r="U98" s="17"/>
      <c r="V98" s="17"/>
      <c r="W98" s="17"/>
      <c r="X98" s="17"/>
      <c r="Y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6" t="str">
        <f aca="false">IF(K99="","",IF(AND(K99&lt;=45,OR(J99="Já existe verba aprovada para esse tema",J99="Entra no orçamento do próximo ciclo")),"Alta",IF(OR(K99&lt;=45,J99="Já existe verba aprovada para esse tema"),"Média","Baixa")))</f>
        <v/>
      </c>
      <c r="T99" s="17"/>
      <c r="U99" s="17"/>
      <c r="V99" s="17"/>
      <c r="W99" s="17"/>
      <c r="X99" s="17"/>
      <c r="Y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6" t="str">
        <f aca="false">IF(K100="","",IF(AND(K100&lt;=45,OR(J100="Já existe verba aprovada para esse tema",J100="Entra no orçamento do próximo ciclo")),"Alta",IF(OR(K100&lt;=45,J100="Já existe verba aprovada para esse tema"),"Média","Baixa")))</f>
        <v/>
      </c>
      <c r="T100" s="17"/>
      <c r="U100" s="17"/>
      <c r="V100" s="17"/>
      <c r="W100" s="17"/>
      <c r="X100" s="17"/>
      <c r="Y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6" t="str">
        <f aca="false">IF(K101="","",IF(AND(K101&lt;=45,OR(J101="Já existe verba aprovada para esse tema",J101="Entra no orçamento do próximo ciclo")),"Alta",IF(OR(K101&lt;=45,J101="Já existe verba aprovada para esse tema"),"Média","Baixa")))</f>
        <v/>
      </c>
      <c r="T101" s="17"/>
      <c r="U101" s="17"/>
      <c r="V101" s="17"/>
      <c r="W101" s="17"/>
      <c r="X101" s="17"/>
      <c r="Y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6" t="str">
        <f aca="false">IF(K102="","",IF(AND(K102&lt;=45,OR(J102="Já existe verba aprovada para esse tema",J102="Entra no orçamento do próximo ciclo")),"Alta",IF(OR(K102&lt;=45,J102="Já existe verba aprovada para esse tema"),"Média","Baixa")))</f>
        <v/>
      </c>
      <c r="T102" s="17"/>
      <c r="U102" s="17"/>
      <c r="V102" s="17"/>
      <c r="W102" s="17"/>
      <c r="X102" s="17"/>
      <c r="Y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6" t="str">
        <f aca="false">IF(K103="","",IF(AND(K103&lt;=45,OR(J103="Já existe verba aprovada para esse tema",J103="Entra no orçamento do próximo ciclo")),"Alta",IF(OR(K103&lt;=45,J103="Já existe verba aprovada para esse tema"),"Média","Baixa")))</f>
        <v/>
      </c>
      <c r="T103" s="17"/>
      <c r="U103" s="17"/>
      <c r="V103" s="17"/>
      <c r="W103" s="17"/>
      <c r="X103" s="17"/>
      <c r="Y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6" t="str">
        <f aca="false">IF(K104="","",IF(AND(K104&lt;=45,OR(J104="Já existe verba aprovada para esse tema",J104="Entra no orçamento do próximo ciclo")),"Alta",IF(OR(K104&lt;=45,J104="Já existe verba aprovada para esse tema"),"Média","Baixa")))</f>
        <v/>
      </c>
      <c r="T104" s="17"/>
      <c r="U104" s="17"/>
      <c r="V104" s="17"/>
      <c r="W104" s="17"/>
      <c r="X104" s="17"/>
      <c r="Y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6" t="str">
        <f aca="false">IF(K105="","",IF(AND(K105&lt;=45,OR(J105="Já existe verba aprovada para esse tema",J105="Entra no orçamento do próximo ciclo")),"Alta",IF(OR(K105&lt;=45,J105="Já existe verba aprovada para esse tema"),"Média","Baixa")))</f>
        <v/>
      </c>
      <c r="T105" s="17"/>
      <c r="U105" s="17"/>
      <c r="V105" s="17"/>
      <c r="W105" s="17"/>
      <c r="X105" s="17"/>
      <c r="Y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6" t="str">
        <f aca="false">IF(K106="","",IF(AND(K106&lt;=45,OR(J106="Já existe verba aprovada para esse tema",J106="Entra no orçamento do próximo ciclo")),"Alta",IF(OR(K106&lt;=45,J106="Já existe verba aprovada para esse tema"),"Média","Baixa")))</f>
        <v/>
      </c>
      <c r="T106" s="17"/>
      <c r="U106" s="17"/>
      <c r="V106" s="17"/>
      <c r="W106" s="17"/>
      <c r="X106" s="17"/>
      <c r="Y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6" t="str">
        <f aca="false">IF(K107="","",IF(AND(K107&lt;=45,OR(J107="Já existe verba aprovada para esse tema",J107="Entra no orçamento do próximo ciclo")),"Alta",IF(OR(K107&lt;=45,J107="Já existe verba aprovada para esse tema"),"Média","Baixa")))</f>
        <v/>
      </c>
      <c r="T107" s="17"/>
      <c r="U107" s="17"/>
      <c r="V107" s="17"/>
      <c r="W107" s="17"/>
      <c r="X107" s="17"/>
      <c r="Y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6" t="str">
        <f aca="false">IF(K108="","",IF(AND(K108&lt;=45,OR(J108="Já existe verba aprovada para esse tema",J108="Entra no orçamento do próximo ciclo")),"Alta",IF(OR(K108&lt;=45,J108="Já existe verba aprovada para esse tema"),"Média","Baixa")))</f>
        <v/>
      </c>
      <c r="T108" s="17"/>
      <c r="U108" s="17"/>
      <c r="V108" s="17"/>
      <c r="W108" s="17"/>
      <c r="X108" s="17"/>
      <c r="Y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6" t="str">
        <f aca="false">IF(K109="","",IF(AND(K109&lt;=45,OR(J109="Já existe verba aprovada para esse tema",J109="Entra no orçamento do próximo ciclo")),"Alta",IF(OR(K109&lt;=45,J109="Já existe verba aprovada para esse tema"),"Média","Baixa")))</f>
        <v/>
      </c>
      <c r="T109" s="17"/>
      <c r="U109" s="17"/>
      <c r="V109" s="17"/>
      <c r="W109" s="17"/>
      <c r="X109" s="17"/>
      <c r="Y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6" t="str">
        <f aca="false">IF(K110="","",IF(AND(K110&lt;=45,OR(J110="Já existe verba aprovada para esse tema",J110="Entra no orçamento do próximo ciclo")),"Alta",IF(OR(K110&lt;=45,J110="Já existe verba aprovada para esse tema"),"Média","Baixa")))</f>
        <v/>
      </c>
      <c r="T110" s="17"/>
      <c r="U110" s="17"/>
      <c r="V110" s="17"/>
      <c r="W110" s="17"/>
      <c r="X110" s="17"/>
      <c r="Y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6" t="str">
        <f aca="false">IF(K111="","",IF(AND(K111&lt;=45,OR(J111="Já existe verba aprovada para esse tema",J111="Entra no orçamento do próximo ciclo")),"Alta",IF(OR(K111&lt;=45,J111="Já existe verba aprovada para esse tema"),"Média","Baixa")))</f>
        <v/>
      </c>
      <c r="T111" s="17"/>
      <c r="U111" s="17"/>
      <c r="V111" s="17"/>
      <c r="W111" s="17"/>
      <c r="X111" s="17"/>
      <c r="Y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6" t="str">
        <f aca="false">IF(K112="","",IF(AND(K112&lt;=45,OR(J112="Já existe verba aprovada para esse tema",J112="Entra no orçamento do próximo ciclo")),"Alta",IF(OR(K112&lt;=45,J112="Já existe verba aprovada para esse tema"),"Média","Baixa")))</f>
        <v/>
      </c>
      <c r="T112" s="17"/>
      <c r="U112" s="17"/>
      <c r="V112" s="17"/>
      <c r="W112" s="17"/>
      <c r="X112" s="17"/>
      <c r="Y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6" t="str">
        <f aca="false">IF(K113="","",IF(AND(K113&lt;=45,OR(J113="Já existe verba aprovada para esse tema",J113="Entra no orçamento do próximo ciclo")),"Alta",IF(OR(K113&lt;=45,J113="Já existe verba aprovada para esse tema"),"Média","Baixa")))</f>
        <v/>
      </c>
      <c r="T113" s="17"/>
      <c r="U113" s="17"/>
      <c r="V113" s="17"/>
      <c r="W113" s="17"/>
      <c r="X113" s="17"/>
      <c r="Y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6" t="str">
        <f aca="false">IF(K114="","",IF(AND(K114&lt;=45,OR(J114="Já existe verba aprovada para esse tema",J114="Entra no orçamento do próximo ciclo")),"Alta",IF(OR(K114&lt;=45,J114="Já existe verba aprovada para esse tema"),"Média","Baixa")))</f>
        <v/>
      </c>
      <c r="T114" s="17"/>
      <c r="U114" s="17"/>
      <c r="V114" s="17"/>
      <c r="W114" s="17"/>
      <c r="X114" s="17"/>
      <c r="Y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6" t="str">
        <f aca="false">IF(K115="","",IF(AND(K115&lt;=45,OR(J115="Já existe verba aprovada para esse tema",J115="Entra no orçamento do próximo ciclo")),"Alta",IF(OR(K115&lt;=45,J115="Já existe verba aprovada para esse tema"),"Média","Baixa")))</f>
        <v/>
      </c>
      <c r="T115" s="17"/>
      <c r="U115" s="17"/>
      <c r="V115" s="17"/>
      <c r="W115" s="17"/>
      <c r="X115" s="17"/>
      <c r="Y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6" t="str">
        <f aca="false">IF(K116="","",IF(AND(K116&lt;=45,OR(J116="Já existe verba aprovada para esse tema",J116="Entra no orçamento do próximo ciclo")),"Alta",IF(OR(K116&lt;=45,J116="Já existe verba aprovada para esse tema"),"Média","Baixa")))</f>
        <v/>
      </c>
      <c r="T116" s="17"/>
      <c r="U116" s="17"/>
      <c r="V116" s="17"/>
      <c r="W116" s="17"/>
      <c r="X116" s="17"/>
      <c r="Y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6" t="str">
        <f aca="false">IF(K117="","",IF(AND(K117&lt;=45,OR(J117="Já existe verba aprovada para esse tema",J117="Entra no orçamento do próximo ciclo")),"Alta",IF(OR(K117&lt;=45,J117="Já existe verba aprovada para esse tema"),"Média","Baixa")))</f>
        <v/>
      </c>
      <c r="T117" s="17"/>
      <c r="U117" s="17"/>
      <c r="V117" s="17"/>
      <c r="W117" s="17"/>
      <c r="X117" s="17"/>
      <c r="Y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6" t="str">
        <f aca="false">IF(K118="","",IF(AND(K118&lt;=45,OR(J118="Já existe verba aprovada para esse tema",J118="Entra no orçamento do próximo ciclo")),"Alta",IF(OR(K118&lt;=45,J118="Já existe verba aprovada para esse tema"),"Média","Baixa")))</f>
        <v/>
      </c>
      <c r="T118" s="17"/>
      <c r="U118" s="17"/>
      <c r="V118" s="17"/>
      <c r="W118" s="17"/>
      <c r="X118" s="17"/>
      <c r="Y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6" t="str">
        <f aca="false">IF(K119="","",IF(AND(K119&lt;=45,OR(J119="Já existe verba aprovada para esse tema",J119="Entra no orçamento do próximo ciclo")),"Alta",IF(OR(K119&lt;=45,J119="Já existe verba aprovada para esse tema"),"Média","Baixa")))</f>
        <v/>
      </c>
      <c r="T119" s="17"/>
      <c r="U119" s="17"/>
      <c r="V119" s="17"/>
      <c r="W119" s="17"/>
      <c r="X119" s="17"/>
      <c r="Y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6" t="str">
        <f aca="false">IF(K120="","",IF(AND(K120&lt;=45,OR(J120="Já existe verba aprovada para esse tema",J120="Entra no orçamento do próximo ciclo")),"Alta",IF(OR(K120&lt;=45,J120="Já existe verba aprovada para esse tema"),"Média","Baixa")))</f>
        <v/>
      </c>
      <c r="T120" s="17"/>
      <c r="U120" s="17"/>
      <c r="V120" s="17"/>
      <c r="W120" s="17"/>
      <c r="X120" s="17"/>
      <c r="Y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6" t="str">
        <f aca="false">IF(K121="","",IF(AND(K121&lt;=45,OR(J121="Já existe verba aprovada para esse tema",J121="Entra no orçamento do próximo ciclo")),"Alta",IF(OR(K121&lt;=45,J121="Já existe verba aprovada para esse tema"),"Média","Baixa")))</f>
        <v/>
      </c>
      <c r="T121" s="17"/>
      <c r="U121" s="17"/>
      <c r="V121" s="17"/>
      <c r="W121" s="17"/>
      <c r="X121" s="17"/>
      <c r="Y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6" t="str">
        <f aca="false">IF(K122="","",IF(AND(K122&lt;=45,OR(J122="Já existe verba aprovada para esse tema",J122="Entra no orçamento do próximo ciclo")),"Alta",IF(OR(K122&lt;=45,J122="Já existe verba aprovada para esse tema"),"Média","Baixa")))</f>
        <v/>
      </c>
      <c r="T122" s="17"/>
      <c r="U122" s="17"/>
      <c r="V122" s="17"/>
      <c r="W122" s="17"/>
      <c r="X122" s="17"/>
      <c r="Y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6" t="str">
        <f aca="false">IF(K123="","",IF(AND(K123&lt;=45,OR(J123="Já existe verba aprovada para esse tema",J123="Entra no orçamento do próximo ciclo")),"Alta",IF(OR(K123&lt;=45,J123="Já existe verba aprovada para esse tema"),"Média","Baixa")))</f>
        <v/>
      </c>
      <c r="T123" s="17"/>
      <c r="U123" s="17"/>
      <c r="V123" s="17"/>
      <c r="W123" s="17"/>
      <c r="X123" s="17"/>
      <c r="Y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6" t="str">
        <f aca="false">IF(K124="","",IF(AND(K124&lt;=45,OR(J124="Já existe verba aprovada para esse tema",J124="Entra no orçamento do próximo ciclo")),"Alta",IF(OR(K124&lt;=45,J124="Já existe verba aprovada para esse tema"),"Média","Baixa")))</f>
        <v/>
      </c>
      <c r="T124" s="17"/>
      <c r="U124" s="17"/>
      <c r="V124" s="17"/>
      <c r="W124" s="17"/>
      <c r="X124" s="17"/>
      <c r="Y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6" t="str">
        <f aca="false">IF(K125="","",IF(AND(K125&lt;=45,OR(J125="Já existe verba aprovada para esse tema",J125="Entra no orçamento do próximo ciclo")),"Alta",IF(OR(K125&lt;=45,J125="Já existe verba aprovada para esse tema"),"Média","Baixa")))</f>
        <v/>
      </c>
      <c r="T125" s="17"/>
      <c r="U125" s="17"/>
      <c r="V125" s="17"/>
      <c r="W125" s="17"/>
      <c r="X125" s="17"/>
      <c r="Y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6" t="str">
        <f aca="false">IF(K126="","",IF(AND(K126&lt;=45,OR(J126="Já existe verba aprovada para esse tema",J126="Entra no orçamento do próximo ciclo")),"Alta",IF(OR(K126&lt;=45,J126="Já existe verba aprovada para esse tema"),"Média","Baixa")))</f>
        <v/>
      </c>
      <c r="T126" s="17"/>
      <c r="U126" s="17"/>
      <c r="V126" s="17"/>
      <c r="W126" s="17"/>
      <c r="X126" s="17"/>
      <c r="Y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6" t="str">
        <f aca="false">IF(K127="","",IF(AND(K127&lt;=45,OR(J127="Já existe verba aprovada para esse tema",J127="Entra no orçamento do próximo ciclo")),"Alta",IF(OR(K127&lt;=45,J127="Já existe verba aprovada para esse tema"),"Média","Baixa")))</f>
        <v/>
      </c>
      <c r="T127" s="17"/>
      <c r="U127" s="17"/>
      <c r="V127" s="17"/>
      <c r="W127" s="17"/>
      <c r="X127" s="17"/>
      <c r="Y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6" t="str">
        <f aca="false">IF(K128="","",IF(AND(K128&lt;=45,OR(J128="Já existe verba aprovada para esse tema",J128="Entra no orçamento do próximo ciclo")),"Alta",IF(OR(K128&lt;=45,J128="Já existe verba aprovada para esse tema"),"Média","Baixa")))</f>
        <v/>
      </c>
      <c r="T128" s="17"/>
      <c r="U128" s="17"/>
      <c r="V128" s="17"/>
      <c r="W128" s="17"/>
      <c r="X128" s="17"/>
      <c r="Y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6" t="str">
        <f aca="false">IF(K129="","",IF(AND(K129&lt;=45,OR(J129="Já existe verba aprovada para esse tema",J129="Entra no orçamento do próximo ciclo")),"Alta",IF(OR(K129&lt;=45,J129="Já existe verba aprovada para esse tema"),"Média","Baixa")))</f>
        <v/>
      </c>
      <c r="T129" s="17"/>
      <c r="U129" s="17"/>
      <c r="V129" s="17"/>
      <c r="W129" s="17"/>
      <c r="X129" s="17"/>
      <c r="Y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6" t="str">
        <f aca="false">IF(K130="","",IF(AND(K130&lt;=45,OR(J130="Já existe verba aprovada para esse tema",J130="Entra no orçamento do próximo ciclo")),"Alta",IF(OR(K130&lt;=45,J130="Já existe verba aprovada para esse tema"),"Média","Baixa")))</f>
        <v/>
      </c>
      <c r="T130" s="17"/>
      <c r="U130" s="17"/>
      <c r="V130" s="17"/>
      <c r="W130" s="17"/>
      <c r="X130" s="17"/>
      <c r="Y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6" t="str">
        <f aca="false">IF(K131="","",IF(AND(K131&lt;=45,OR(J131="Já existe verba aprovada para esse tema",J131="Entra no orçamento do próximo ciclo")),"Alta",IF(OR(K131&lt;=45,J131="Já existe verba aprovada para esse tema"),"Média","Baixa")))</f>
        <v/>
      </c>
      <c r="T131" s="17"/>
      <c r="U131" s="17"/>
      <c r="V131" s="17"/>
      <c r="W131" s="17"/>
      <c r="X131" s="17"/>
      <c r="Y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6" t="str">
        <f aca="false">IF(K132="","",IF(AND(K132&lt;=45,OR(J132="Já existe verba aprovada para esse tema",J132="Entra no orçamento do próximo ciclo")),"Alta",IF(OR(K132&lt;=45,J132="Já existe verba aprovada para esse tema"),"Média","Baixa")))</f>
        <v/>
      </c>
      <c r="T132" s="17"/>
      <c r="U132" s="17"/>
      <c r="V132" s="17"/>
      <c r="W132" s="17"/>
      <c r="X132" s="17"/>
      <c r="Y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6" t="str">
        <f aca="false">IF(K133="","",IF(AND(K133&lt;=45,OR(J133="Já existe verba aprovada para esse tema",J133="Entra no orçamento do próximo ciclo")),"Alta",IF(OR(K133&lt;=45,J133="Já existe verba aprovada para esse tema"),"Média","Baixa")))</f>
        <v/>
      </c>
      <c r="T133" s="17"/>
      <c r="U133" s="17"/>
      <c r="V133" s="17"/>
      <c r="W133" s="17"/>
      <c r="X133" s="17"/>
      <c r="Y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6" t="str">
        <f aca="false">IF(K134="","",IF(AND(K134&lt;=45,OR(J134="Já existe verba aprovada para esse tema",J134="Entra no orçamento do próximo ciclo")),"Alta",IF(OR(K134&lt;=45,J134="Já existe verba aprovada para esse tema"),"Média","Baixa")))</f>
        <v/>
      </c>
      <c r="T134" s="17"/>
      <c r="U134" s="17"/>
      <c r="V134" s="17"/>
      <c r="W134" s="17"/>
      <c r="X134" s="17"/>
      <c r="Y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6" t="str">
        <f aca="false">IF(K135="","",IF(AND(K135&lt;=45,OR(J135="Já existe verba aprovada para esse tema",J135="Entra no orçamento do próximo ciclo")),"Alta",IF(OR(K135&lt;=45,J135="Já existe verba aprovada para esse tema"),"Média","Baixa")))</f>
        <v/>
      </c>
      <c r="T135" s="17"/>
      <c r="U135" s="17"/>
      <c r="V135" s="17"/>
      <c r="W135" s="17"/>
      <c r="X135" s="17"/>
      <c r="Y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6" t="str">
        <f aca="false">IF(K136="","",IF(AND(K136&lt;=45,OR(J136="Já existe verba aprovada para esse tema",J136="Entra no orçamento do próximo ciclo")),"Alta",IF(OR(K136&lt;=45,J136="Já existe verba aprovada para esse tema"),"Média","Baixa")))</f>
        <v/>
      </c>
      <c r="T136" s="17"/>
      <c r="U136" s="17"/>
      <c r="V136" s="17"/>
      <c r="W136" s="17"/>
      <c r="X136" s="17"/>
      <c r="Y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6" t="str">
        <f aca="false">IF(K137="","",IF(AND(K137&lt;=45,OR(J137="Já existe verba aprovada para esse tema",J137="Entra no orçamento do próximo ciclo")),"Alta",IF(OR(K137&lt;=45,J137="Já existe verba aprovada para esse tema"),"Média","Baixa")))</f>
        <v/>
      </c>
      <c r="T137" s="17"/>
      <c r="U137" s="17"/>
      <c r="V137" s="17"/>
      <c r="W137" s="17"/>
      <c r="X137" s="17"/>
      <c r="Y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6" t="str">
        <f aca="false">IF(K138="","",IF(AND(K138&lt;=45,OR(J138="Já existe verba aprovada para esse tema",J138="Entra no orçamento do próximo ciclo")),"Alta",IF(OR(K138&lt;=45,J138="Já existe verba aprovada para esse tema"),"Média","Baixa")))</f>
        <v/>
      </c>
      <c r="T138" s="17"/>
      <c r="U138" s="17"/>
      <c r="V138" s="17"/>
      <c r="W138" s="17"/>
      <c r="X138" s="17"/>
      <c r="Y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6" t="str">
        <f aca="false">IF(K139="","",IF(AND(K139&lt;=45,OR(J139="Já existe verba aprovada para esse tema",J139="Entra no orçamento do próximo ciclo")),"Alta",IF(OR(K139&lt;=45,J139="Já existe verba aprovada para esse tema"),"Média","Baixa")))</f>
        <v/>
      </c>
      <c r="T139" s="17"/>
      <c r="U139" s="17"/>
      <c r="V139" s="17"/>
      <c r="W139" s="17"/>
      <c r="X139" s="17"/>
      <c r="Y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6" t="str">
        <f aca="false">IF(K140="","",IF(AND(K140&lt;=45,OR(J140="Já existe verba aprovada para esse tema",J140="Entra no orçamento do próximo ciclo")),"Alta",IF(OR(K140&lt;=45,J140="Já existe verba aprovada para esse tema"),"Média","Baixa")))</f>
        <v/>
      </c>
      <c r="T140" s="17"/>
      <c r="U140" s="17"/>
      <c r="V140" s="17"/>
      <c r="W140" s="17"/>
      <c r="X140" s="17"/>
      <c r="Y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6" t="str">
        <f aca="false">IF(K141="","",IF(AND(K141&lt;=45,OR(J141="Já existe verba aprovada para esse tema",J141="Entra no orçamento do próximo ciclo")),"Alta",IF(OR(K141&lt;=45,J141="Já existe verba aprovada para esse tema"),"Média","Baixa")))</f>
        <v/>
      </c>
      <c r="T141" s="17"/>
      <c r="U141" s="17"/>
      <c r="V141" s="17"/>
      <c r="W141" s="17"/>
      <c r="X141" s="17"/>
      <c r="Y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6" t="str">
        <f aca="false">IF(K142="","",IF(AND(K142&lt;=45,OR(J142="Já existe verba aprovada para esse tema",J142="Entra no orçamento do próximo ciclo")),"Alta",IF(OR(K142&lt;=45,J142="Já existe verba aprovada para esse tema"),"Média","Baixa")))</f>
        <v/>
      </c>
      <c r="T142" s="17"/>
      <c r="U142" s="17"/>
      <c r="V142" s="17"/>
      <c r="W142" s="17"/>
      <c r="X142" s="17"/>
      <c r="Y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6" t="str">
        <f aca="false">IF(K143="","",IF(AND(K143&lt;=45,OR(J143="Já existe verba aprovada para esse tema",J143="Entra no orçamento do próximo ciclo")),"Alta",IF(OR(K143&lt;=45,J143="Já existe verba aprovada para esse tema"),"Média","Baixa")))</f>
        <v/>
      </c>
      <c r="T143" s="17"/>
      <c r="U143" s="17"/>
      <c r="V143" s="17"/>
      <c r="W143" s="17"/>
      <c r="X143" s="17"/>
      <c r="Y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6" t="str">
        <f aca="false">IF(K144="","",IF(AND(K144&lt;=45,OR(J144="Já existe verba aprovada para esse tema",J144="Entra no orçamento do próximo ciclo")),"Alta",IF(OR(K144&lt;=45,J144="Já existe verba aprovada para esse tema"),"Média","Baixa")))</f>
        <v/>
      </c>
      <c r="T144" s="17"/>
      <c r="U144" s="17"/>
      <c r="V144" s="17"/>
      <c r="W144" s="17"/>
      <c r="X144" s="17"/>
      <c r="Y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6" t="str">
        <f aca="false">IF(K145="","",IF(AND(K145&lt;=45,OR(J145="Já existe verba aprovada para esse tema",J145="Entra no orçamento do próximo ciclo")),"Alta",IF(OR(K145&lt;=45,J145="Já existe verba aprovada para esse tema"),"Média","Baixa")))</f>
        <v/>
      </c>
      <c r="T145" s="17"/>
      <c r="U145" s="17"/>
      <c r="V145" s="17"/>
      <c r="W145" s="17"/>
      <c r="X145" s="17"/>
      <c r="Y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6" t="str">
        <f aca="false">IF(K146="","",IF(AND(K146&lt;=45,OR(J146="Já existe verba aprovada para esse tema",J146="Entra no orçamento do próximo ciclo")),"Alta",IF(OR(K146&lt;=45,J146="Já existe verba aprovada para esse tema"),"Média","Baixa")))</f>
        <v/>
      </c>
      <c r="T146" s="17"/>
      <c r="U146" s="17"/>
      <c r="V146" s="17"/>
      <c r="W146" s="17"/>
      <c r="X146" s="17"/>
      <c r="Y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6" t="str">
        <f aca="false">IF(K147="","",IF(AND(K147&lt;=45,OR(J147="Já existe verba aprovada para esse tema",J147="Entra no orçamento do próximo ciclo")),"Alta",IF(OR(K147&lt;=45,J147="Já existe verba aprovada para esse tema"),"Média","Baixa")))</f>
        <v/>
      </c>
      <c r="T147" s="17"/>
      <c r="U147" s="17"/>
      <c r="V147" s="17"/>
      <c r="W147" s="17"/>
      <c r="X147" s="17"/>
      <c r="Y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6" t="str">
        <f aca="false">IF(K148="","",IF(AND(K148&lt;=45,OR(J148="Já existe verba aprovada para esse tema",J148="Entra no orçamento do próximo ciclo")),"Alta",IF(OR(K148&lt;=45,J148="Já existe verba aprovada para esse tema"),"Média","Baixa")))</f>
        <v/>
      </c>
      <c r="T148" s="17"/>
      <c r="U148" s="17"/>
      <c r="V148" s="17"/>
      <c r="W148" s="17"/>
      <c r="X148" s="17"/>
      <c r="Y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6" t="str">
        <f aca="false">IF(K149="","",IF(AND(K149&lt;=45,OR(J149="Já existe verba aprovada para esse tema",J149="Entra no orçamento do próximo ciclo")),"Alta",IF(OR(K149&lt;=45,J149="Já existe verba aprovada para esse tema"),"Média","Baixa")))</f>
        <v/>
      </c>
      <c r="T149" s="17"/>
      <c r="U149" s="17"/>
      <c r="V149" s="17"/>
      <c r="W149" s="17"/>
      <c r="X149" s="17"/>
      <c r="Y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6" t="str">
        <f aca="false">IF(K150="","",IF(AND(K150&lt;=45,OR(J150="Já existe verba aprovada para esse tema",J150="Entra no orçamento do próximo ciclo")),"Alta",IF(OR(K150&lt;=45,J150="Já existe verba aprovada para esse tema"),"Média","Baixa")))</f>
        <v/>
      </c>
      <c r="T150" s="17"/>
      <c r="U150" s="17"/>
      <c r="V150" s="17"/>
      <c r="W150" s="17"/>
      <c r="X150" s="17"/>
      <c r="Y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6" t="str">
        <f aca="false">IF(K151="","",IF(AND(K151&lt;=45,OR(J151="Já existe verba aprovada para esse tema",J151="Entra no orçamento do próximo ciclo")),"Alta",IF(OR(K151&lt;=45,J151="Já existe verba aprovada para esse tema"),"Média","Baixa")))</f>
        <v/>
      </c>
      <c r="T151" s="17"/>
      <c r="U151" s="17"/>
      <c r="V151" s="17"/>
      <c r="W151" s="17"/>
      <c r="X151" s="17"/>
      <c r="Y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6" t="str">
        <f aca="false">IF(K152="","",IF(AND(K152&lt;=45,OR(J152="Já existe verba aprovada para esse tema",J152="Entra no orçamento do próximo ciclo")),"Alta",IF(OR(K152&lt;=45,J152="Já existe verba aprovada para esse tema"),"Média","Baixa")))</f>
        <v/>
      </c>
      <c r="T152" s="17"/>
      <c r="U152" s="17"/>
      <c r="V152" s="17"/>
      <c r="W152" s="17"/>
      <c r="X152" s="17"/>
      <c r="Y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6" t="str">
        <f aca="false">IF(K153="","",IF(AND(K153&lt;=45,OR(J153="Já existe verba aprovada para esse tema",J153="Entra no orçamento do próximo ciclo")),"Alta",IF(OR(K153&lt;=45,J153="Já existe verba aprovada para esse tema"),"Média","Baixa")))</f>
        <v/>
      </c>
      <c r="T153" s="17"/>
      <c r="U153" s="17"/>
      <c r="V153" s="17"/>
      <c r="W153" s="17"/>
      <c r="X153" s="17"/>
      <c r="Y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6" t="str">
        <f aca="false">IF(K154="","",IF(AND(K154&lt;=45,OR(J154="Já existe verba aprovada para esse tema",J154="Entra no orçamento do próximo ciclo")),"Alta",IF(OR(K154&lt;=45,J154="Já existe verba aprovada para esse tema"),"Média","Baixa")))</f>
        <v/>
      </c>
      <c r="T154" s="17"/>
      <c r="U154" s="17"/>
      <c r="V154" s="17"/>
      <c r="W154" s="17"/>
      <c r="X154" s="17"/>
      <c r="Y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6" t="str">
        <f aca="false">IF(K155="","",IF(AND(K155&lt;=45,OR(J155="Já existe verba aprovada para esse tema",J155="Entra no orçamento do próximo ciclo")),"Alta",IF(OR(K155&lt;=45,J155="Já existe verba aprovada para esse tema"),"Média","Baixa")))</f>
        <v/>
      </c>
      <c r="T155" s="17"/>
      <c r="U155" s="17"/>
      <c r="V155" s="17"/>
      <c r="W155" s="17"/>
      <c r="X155" s="17"/>
      <c r="Y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6" t="str">
        <f aca="false">IF(K156="","",IF(AND(K156&lt;=45,OR(J156="Já existe verba aprovada para esse tema",J156="Entra no orçamento do próximo ciclo")),"Alta",IF(OR(K156&lt;=45,J156="Já existe verba aprovada para esse tema"),"Média","Baixa")))</f>
        <v/>
      </c>
      <c r="T156" s="17"/>
      <c r="U156" s="17"/>
      <c r="V156" s="17"/>
      <c r="W156" s="17"/>
      <c r="X156" s="17"/>
      <c r="Y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6" t="str">
        <f aca="false">IF(K157="","",IF(AND(K157&lt;=45,OR(J157="Já existe verba aprovada para esse tema",J157="Entra no orçamento do próximo ciclo")),"Alta",IF(OR(K157&lt;=45,J157="Já existe verba aprovada para esse tema"),"Média","Baixa")))</f>
        <v/>
      </c>
      <c r="T157" s="17"/>
      <c r="U157" s="17"/>
      <c r="V157" s="17"/>
      <c r="W157" s="17"/>
      <c r="X157" s="17"/>
      <c r="Y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6" t="str">
        <f aca="false">IF(K158="","",IF(AND(K158&lt;=45,OR(J158="Já existe verba aprovada para esse tema",J158="Entra no orçamento do próximo ciclo")),"Alta",IF(OR(K158&lt;=45,J158="Já existe verba aprovada para esse tema"),"Média","Baixa")))</f>
        <v/>
      </c>
      <c r="T158" s="17"/>
      <c r="U158" s="17"/>
      <c r="V158" s="17"/>
      <c r="W158" s="17"/>
      <c r="X158" s="17"/>
      <c r="Y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6" t="str">
        <f aca="false">IF(K159="","",IF(AND(K159&lt;=45,OR(J159="Já existe verba aprovada para esse tema",J159="Entra no orçamento do próximo ciclo")),"Alta",IF(OR(K159&lt;=45,J159="Já existe verba aprovada para esse tema"),"Média","Baixa")))</f>
        <v/>
      </c>
      <c r="T159" s="17"/>
      <c r="U159" s="17"/>
      <c r="V159" s="17"/>
      <c r="W159" s="17"/>
      <c r="X159" s="17"/>
      <c r="Y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6" t="str">
        <f aca="false">IF(K160="","",IF(AND(K160&lt;=45,OR(J160="Já existe verba aprovada para esse tema",J160="Entra no orçamento do próximo ciclo")),"Alta",IF(OR(K160&lt;=45,J160="Já existe verba aprovada para esse tema"),"Média","Baixa")))</f>
        <v/>
      </c>
      <c r="T160" s="17"/>
      <c r="U160" s="17"/>
      <c r="V160" s="17"/>
      <c r="W160" s="17"/>
      <c r="X160" s="17"/>
      <c r="Y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6" t="str">
        <f aca="false">IF(K161="","",IF(AND(K161&lt;=45,OR(J161="Já existe verba aprovada para esse tema",J161="Entra no orçamento do próximo ciclo")),"Alta",IF(OR(K161&lt;=45,J161="Já existe verba aprovada para esse tema"),"Média","Baixa")))</f>
        <v/>
      </c>
      <c r="T161" s="17"/>
      <c r="U161" s="17"/>
      <c r="V161" s="17"/>
      <c r="W161" s="17"/>
      <c r="X161" s="17"/>
      <c r="Y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6" t="str">
        <f aca="false">IF(K162="","",IF(AND(K162&lt;=45,OR(J162="Já existe verba aprovada para esse tema",J162="Entra no orçamento do próximo ciclo")),"Alta",IF(OR(K162&lt;=45,J162="Já existe verba aprovada para esse tema"),"Média","Baixa")))</f>
        <v/>
      </c>
      <c r="T162" s="17"/>
      <c r="U162" s="17"/>
      <c r="V162" s="17"/>
      <c r="W162" s="17"/>
      <c r="X162" s="17"/>
      <c r="Y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6" t="str">
        <f aca="false">IF(K163="","",IF(AND(K163&lt;=45,OR(J163="Já existe verba aprovada para esse tema",J163="Entra no orçamento do próximo ciclo")),"Alta",IF(OR(K163&lt;=45,J163="Já existe verba aprovada para esse tema"),"Média","Baixa")))</f>
        <v/>
      </c>
      <c r="T163" s="17"/>
      <c r="U163" s="17"/>
      <c r="V163" s="17"/>
      <c r="W163" s="17"/>
      <c r="X163" s="17"/>
      <c r="Y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6" t="str">
        <f aca="false">IF(K164="","",IF(AND(K164&lt;=45,OR(J164="Já existe verba aprovada para esse tema",J164="Entra no orçamento do próximo ciclo")),"Alta",IF(OR(K164&lt;=45,J164="Já existe verba aprovada para esse tema"),"Média","Baixa")))</f>
        <v/>
      </c>
      <c r="T164" s="17"/>
      <c r="U164" s="17"/>
      <c r="V164" s="17"/>
      <c r="W164" s="17"/>
      <c r="X164" s="17"/>
      <c r="Y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6" t="str">
        <f aca="false">IF(K165="","",IF(AND(K165&lt;=45,OR(J165="Já existe verba aprovada para esse tema",J165="Entra no orçamento do próximo ciclo")),"Alta",IF(OR(K165&lt;=45,J165="Já existe verba aprovada para esse tema"),"Média","Baixa")))</f>
        <v/>
      </c>
      <c r="T165" s="17"/>
      <c r="U165" s="17"/>
      <c r="V165" s="17"/>
      <c r="W165" s="17"/>
      <c r="X165" s="17"/>
      <c r="Y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6" t="str">
        <f aca="false">IF(K166="","",IF(AND(K166&lt;=45,OR(J166="Já existe verba aprovada para esse tema",J166="Entra no orçamento do próximo ciclo")),"Alta",IF(OR(K166&lt;=45,J166="Já existe verba aprovada para esse tema"),"Média","Baixa")))</f>
        <v/>
      </c>
      <c r="T166" s="17"/>
      <c r="U166" s="17"/>
      <c r="V166" s="17"/>
      <c r="W166" s="17"/>
      <c r="X166" s="17"/>
      <c r="Y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6" t="str">
        <f aca="false">IF(K167="","",IF(AND(K167&lt;=45,OR(J167="Já existe verba aprovada para esse tema",J167="Entra no orçamento do próximo ciclo")),"Alta",IF(OR(K167&lt;=45,J167="Já existe verba aprovada para esse tema"),"Média","Baixa")))</f>
        <v/>
      </c>
      <c r="T167" s="17"/>
      <c r="U167" s="17"/>
      <c r="V167" s="17"/>
      <c r="W167" s="17"/>
      <c r="X167" s="17"/>
      <c r="Y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6" t="str">
        <f aca="false">IF(K168="","",IF(AND(K168&lt;=45,OR(J168="Já existe verba aprovada para esse tema",J168="Entra no orçamento do próximo ciclo")),"Alta",IF(OR(K168&lt;=45,J168="Já existe verba aprovada para esse tema"),"Média","Baixa")))</f>
        <v/>
      </c>
      <c r="T168" s="17"/>
      <c r="U168" s="17"/>
      <c r="V168" s="17"/>
      <c r="W168" s="17"/>
      <c r="X168" s="17"/>
      <c r="Y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6" t="str">
        <f aca="false">IF(K169="","",IF(AND(K169&lt;=45,OR(J169="Já existe verba aprovada para esse tema",J169="Entra no orçamento do próximo ciclo")),"Alta",IF(OR(K169&lt;=45,J169="Já existe verba aprovada para esse tema"),"Média","Baixa")))</f>
        <v/>
      </c>
      <c r="T169" s="17"/>
      <c r="U169" s="17"/>
      <c r="V169" s="17"/>
      <c r="W169" s="17"/>
      <c r="X169" s="17"/>
      <c r="Y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6" t="str">
        <f aca="false">IF(K170="","",IF(AND(K170&lt;=45,OR(J170="Já existe verba aprovada para esse tema",J170="Entra no orçamento do próximo ciclo")),"Alta",IF(OR(K170&lt;=45,J170="Já existe verba aprovada para esse tema"),"Média","Baixa")))</f>
        <v/>
      </c>
      <c r="T170" s="17"/>
      <c r="U170" s="17"/>
      <c r="V170" s="17"/>
      <c r="W170" s="17"/>
      <c r="X170" s="17"/>
      <c r="Y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6" t="str">
        <f aca="false">IF(K171="","",IF(AND(K171&lt;=45,OR(J171="Já existe verba aprovada para esse tema",J171="Entra no orçamento do próximo ciclo")),"Alta",IF(OR(K171&lt;=45,J171="Já existe verba aprovada para esse tema"),"Média","Baixa")))</f>
        <v/>
      </c>
      <c r="T171" s="17"/>
      <c r="U171" s="17"/>
      <c r="V171" s="17"/>
      <c r="W171" s="17"/>
      <c r="X171" s="17"/>
      <c r="Y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6" t="str">
        <f aca="false">IF(K172="","",IF(AND(K172&lt;=45,OR(J172="Já existe verba aprovada para esse tema",J172="Entra no orçamento do próximo ciclo")),"Alta",IF(OR(K172&lt;=45,J172="Já existe verba aprovada para esse tema"),"Média","Baixa")))</f>
        <v/>
      </c>
      <c r="T172" s="17"/>
      <c r="U172" s="17"/>
      <c r="V172" s="17"/>
      <c r="W172" s="17"/>
      <c r="X172" s="17"/>
      <c r="Y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6" t="str">
        <f aca="false">IF(K173="","",IF(AND(K173&lt;=45,OR(J173="Já existe verba aprovada para esse tema",J173="Entra no orçamento do próximo ciclo")),"Alta",IF(OR(K173&lt;=45,J173="Já existe verba aprovada para esse tema"),"Média","Baixa")))</f>
        <v/>
      </c>
      <c r="T173" s="17"/>
      <c r="U173" s="17"/>
      <c r="V173" s="17"/>
      <c r="W173" s="17"/>
      <c r="X173" s="17"/>
      <c r="Y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6" t="str">
        <f aca="false">IF(K174="","",IF(AND(K174&lt;=45,OR(J174="Já existe verba aprovada para esse tema",J174="Entra no orçamento do próximo ciclo")),"Alta",IF(OR(K174&lt;=45,J174="Já existe verba aprovada para esse tema"),"Média","Baixa")))</f>
        <v/>
      </c>
      <c r="T174" s="17"/>
      <c r="U174" s="17"/>
      <c r="V174" s="17"/>
      <c r="W174" s="17"/>
      <c r="X174" s="17"/>
      <c r="Y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6" t="str">
        <f aca="false">IF(K175="","",IF(AND(K175&lt;=45,OR(J175="Já existe verba aprovada para esse tema",J175="Entra no orçamento do próximo ciclo")),"Alta",IF(OR(K175&lt;=45,J175="Já existe verba aprovada para esse tema"),"Média","Baixa")))</f>
        <v/>
      </c>
      <c r="T175" s="17"/>
      <c r="U175" s="17"/>
      <c r="V175" s="17"/>
      <c r="W175" s="17"/>
      <c r="X175" s="17"/>
      <c r="Y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6" t="str">
        <f aca="false">IF(K176="","",IF(AND(K176&lt;=45,OR(J176="Já existe verba aprovada para esse tema",J176="Entra no orçamento do próximo ciclo")),"Alta",IF(OR(K176&lt;=45,J176="Já existe verba aprovada para esse tema"),"Média","Baixa")))</f>
        <v/>
      </c>
      <c r="T176" s="17"/>
      <c r="U176" s="17"/>
      <c r="V176" s="17"/>
      <c r="W176" s="17"/>
      <c r="X176" s="17"/>
      <c r="Y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6" t="str">
        <f aca="false">IF(K177="","",IF(AND(K177&lt;=45,OR(J177="Já existe verba aprovada para esse tema",J177="Entra no orçamento do próximo ciclo")),"Alta",IF(OR(K177&lt;=45,J177="Já existe verba aprovada para esse tema"),"Média","Baixa")))</f>
        <v/>
      </c>
      <c r="T177" s="17"/>
      <c r="U177" s="17"/>
      <c r="V177" s="17"/>
      <c r="W177" s="17"/>
      <c r="X177" s="17"/>
      <c r="Y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6" t="str">
        <f aca="false">IF(K178="","",IF(AND(K178&lt;=45,OR(J178="Já existe verba aprovada para esse tema",J178="Entra no orçamento do próximo ciclo")),"Alta",IF(OR(K178&lt;=45,J178="Já existe verba aprovada para esse tema"),"Média","Baixa")))</f>
        <v/>
      </c>
      <c r="T178" s="17"/>
      <c r="U178" s="17"/>
      <c r="V178" s="17"/>
      <c r="W178" s="17"/>
      <c r="X178" s="17"/>
      <c r="Y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6" t="str">
        <f aca="false">IF(K179="","",IF(AND(K179&lt;=45,OR(J179="Já existe verba aprovada para esse tema",J179="Entra no orçamento do próximo ciclo")),"Alta",IF(OR(K179&lt;=45,J179="Já existe verba aprovada para esse tema"),"Média","Baixa")))</f>
        <v/>
      </c>
      <c r="T179" s="17"/>
      <c r="U179" s="17"/>
      <c r="V179" s="17"/>
      <c r="W179" s="17"/>
      <c r="X179" s="17"/>
      <c r="Y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6" t="str">
        <f aca="false">IF(K180="","",IF(AND(K180&lt;=45,OR(J180="Já existe verba aprovada para esse tema",J180="Entra no orçamento do próximo ciclo")),"Alta",IF(OR(K180&lt;=45,J180="Já existe verba aprovada para esse tema"),"Média","Baixa")))</f>
        <v/>
      </c>
      <c r="T180" s="17"/>
      <c r="U180" s="17"/>
      <c r="V180" s="17"/>
      <c r="W180" s="17"/>
      <c r="X180" s="17"/>
      <c r="Y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6" t="str">
        <f aca="false">IF(K181="","",IF(AND(K181&lt;=45,OR(J181="Já existe verba aprovada para esse tema",J181="Entra no orçamento do próximo ciclo")),"Alta",IF(OR(K181&lt;=45,J181="Já existe verba aprovada para esse tema"),"Média","Baixa")))</f>
        <v/>
      </c>
      <c r="T181" s="17"/>
      <c r="U181" s="17"/>
      <c r="V181" s="17"/>
      <c r="W181" s="17"/>
      <c r="X181" s="17"/>
      <c r="Y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6" t="str">
        <f aca="false">IF(K182="","",IF(AND(K182&lt;=45,OR(J182="Já existe verba aprovada para esse tema",J182="Entra no orçamento do próximo ciclo")),"Alta",IF(OR(K182&lt;=45,J182="Já existe verba aprovada para esse tema"),"Média","Baixa")))</f>
        <v/>
      </c>
      <c r="T182" s="17"/>
      <c r="U182" s="17"/>
      <c r="V182" s="17"/>
      <c r="W182" s="17"/>
      <c r="X182" s="17"/>
      <c r="Y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6" t="str">
        <f aca="false">IF(K183="","",IF(AND(K183&lt;=45,OR(J183="Já existe verba aprovada para esse tema",J183="Entra no orçamento do próximo ciclo")),"Alta",IF(OR(K183&lt;=45,J183="Já existe verba aprovada para esse tema"),"Média","Baixa")))</f>
        <v/>
      </c>
      <c r="T183" s="17"/>
      <c r="U183" s="17"/>
      <c r="V183" s="17"/>
      <c r="W183" s="17"/>
      <c r="X183" s="17"/>
      <c r="Y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6" t="str">
        <f aca="false">IF(K184="","",IF(AND(K184&lt;=45,OR(J184="Já existe verba aprovada para esse tema",J184="Entra no orçamento do próximo ciclo")),"Alta",IF(OR(K184&lt;=45,J184="Já existe verba aprovada para esse tema"),"Média","Baixa")))</f>
        <v/>
      </c>
      <c r="T184" s="17"/>
      <c r="U184" s="17"/>
      <c r="V184" s="17"/>
      <c r="W184" s="17"/>
      <c r="X184" s="17"/>
      <c r="Y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6" t="str">
        <f aca="false">IF(K185="","",IF(AND(K185&lt;=45,OR(J185="Já existe verba aprovada para esse tema",J185="Entra no orçamento do próximo ciclo")),"Alta",IF(OR(K185&lt;=45,J185="Já existe verba aprovada para esse tema"),"Média","Baixa")))</f>
        <v/>
      </c>
      <c r="T185" s="17"/>
      <c r="U185" s="17"/>
      <c r="V185" s="17"/>
      <c r="W185" s="17"/>
      <c r="X185" s="17"/>
      <c r="Y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6" t="str">
        <f aca="false">IF(K186="","",IF(AND(K186&lt;=45,OR(J186="Já existe verba aprovada para esse tema",J186="Entra no orçamento do próximo ciclo")),"Alta",IF(OR(K186&lt;=45,J186="Já existe verba aprovada para esse tema"),"Média","Baixa")))</f>
        <v/>
      </c>
      <c r="T186" s="17"/>
      <c r="U186" s="17"/>
      <c r="V186" s="17"/>
      <c r="W186" s="17"/>
      <c r="X186" s="17"/>
      <c r="Y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6" t="str">
        <f aca="false">IF(K187="","",IF(AND(K187&lt;=45,OR(J187="Já existe verba aprovada para esse tema",J187="Entra no orçamento do próximo ciclo")),"Alta",IF(OR(K187&lt;=45,J187="Já existe verba aprovada para esse tema"),"Média","Baixa")))</f>
        <v/>
      </c>
      <c r="T187" s="17"/>
      <c r="U187" s="17"/>
      <c r="V187" s="17"/>
      <c r="W187" s="17"/>
      <c r="X187" s="17"/>
      <c r="Y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6" t="str">
        <f aca="false">IF(K188="","",IF(AND(K188&lt;=45,OR(J188="Já existe verba aprovada para esse tema",J188="Entra no orçamento do próximo ciclo")),"Alta",IF(OR(K188&lt;=45,J188="Já existe verba aprovada para esse tema"),"Média","Baixa")))</f>
        <v/>
      </c>
      <c r="T188" s="17"/>
      <c r="U188" s="17"/>
      <c r="V188" s="17"/>
      <c r="W188" s="17"/>
      <c r="X188" s="17"/>
      <c r="Y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6" t="str">
        <f aca="false">IF(K189="","",IF(AND(K189&lt;=45,OR(J189="Já existe verba aprovada para esse tema",J189="Entra no orçamento do próximo ciclo")),"Alta",IF(OR(K189&lt;=45,J189="Já existe verba aprovada para esse tema"),"Média","Baixa")))</f>
        <v/>
      </c>
      <c r="T189" s="17"/>
      <c r="U189" s="17"/>
      <c r="V189" s="17"/>
      <c r="W189" s="17"/>
      <c r="X189" s="17"/>
      <c r="Y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6" t="str">
        <f aca="false">IF(K190="","",IF(AND(K190&lt;=45,OR(J190="Já existe verba aprovada para esse tema",J190="Entra no orçamento do próximo ciclo")),"Alta",IF(OR(K190&lt;=45,J190="Já existe verba aprovada para esse tema"),"Média","Baixa")))</f>
        <v/>
      </c>
      <c r="T190" s="17"/>
      <c r="U190" s="17"/>
      <c r="V190" s="17"/>
      <c r="W190" s="17"/>
      <c r="X190" s="17"/>
      <c r="Y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6" t="str">
        <f aca="false">IF(K191="","",IF(AND(K191&lt;=45,OR(J191="Já existe verba aprovada para esse tema",J191="Entra no orçamento do próximo ciclo")),"Alta",IF(OR(K191&lt;=45,J191="Já existe verba aprovada para esse tema"),"Média","Baixa")))</f>
        <v/>
      </c>
      <c r="T191" s="17"/>
      <c r="U191" s="17"/>
      <c r="V191" s="17"/>
      <c r="W191" s="17"/>
      <c r="X191" s="17"/>
      <c r="Y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6" t="str">
        <f aca="false">IF(K192="","",IF(AND(K192&lt;=45,OR(J192="Já existe verba aprovada para esse tema",J192="Entra no orçamento do próximo ciclo")),"Alta",IF(OR(K192&lt;=45,J192="Já existe verba aprovada para esse tema"),"Média","Baixa")))</f>
        <v/>
      </c>
      <c r="T192" s="17"/>
      <c r="U192" s="17"/>
      <c r="V192" s="17"/>
      <c r="W192" s="17"/>
      <c r="X192" s="17"/>
      <c r="Y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6" t="str">
        <f aca="false">IF(K193="","",IF(AND(K193&lt;=45,OR(J193="Já existe verba aprovada para esse tema",J193="Entra no orçamento do próximo ciclo")),"Alta",IF(OR(K193&lt;=45,J193="Já existe verba aprovada para esse tema"),"Média","Baixa")))</f>
        <v/>
      </c>
      <c r="T193" s="17"/>
      <c r="U193" s="17"/>
      <c r="V193" s="17"/>
      <c r="W193" s="17"/>
      <c r="X193" s="17"/>
      <c r="Y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6" t="str">
        <f aca="false">IF(K194="","",IF(AND(K194&lt;=45,OR(J194="Já existe verba aprovada para esse tema",J194="Entra no orçamento do próximo ciclo")),"Alta",IF(OR(K194&lt;=45,J194="Já existe verba aprovada para esse tema"),"Média","Baixa")))</f>
        <v/>
      </c>
      <c r="T194" s="17"/>
      <c r="U194" s="17"/>
      <c r="V194" s="17"/>
      <c r="W194" s="17"/>
      <c r="X194" s="17"/>
      <c r="Y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6" t="str">
        <f aca="false">IF(K195="","",IF(AND(K195&lt;=45,OR(J195="Já existe verba aprovada para esse tema",J195="Entra no orçamento do próximo ciclo")),"Alta",IF(OR(K195&lt;=45,J195="Já existe verba aprovada para esse tema"),"Média","Baixa")))</f>
        <v/>
      </c>
      <c r="T195" s="17"/>
      <c r="U195" s="17"/>
      <c r="V195" s="17"/>
      <c r="W195" s="17"/>
      <c r="X195" s="17"/>
      <c r="Y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6" t="str">
        <f aca="false">IF(K196="","",IF(AND(K196&lt;=45,OR(J196="Já existe verba aprovada para esse tema",J196="Entra no orçamento do próximo ciclo")),"Alta",IF(OR(K196&lt;=45,J196="Já existe verba aprovada para esse tema"),"Média","Baixa")))</f>
        <v/>
      </c>
      <c r="T196" s="17"/>
      <c r="U196" s="17"/>
      <c r="V196" s="17"/>
      <c r="W196" s="17"/>
      <c r="X196" s="17"/>
      <c r="Y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6" t="str">
        <f aca="false">IF(K197="","",IF(AND(K197&lt;=45,OR(J197="Já existe verba aprovada para esse tema",J197="Entra no orçamento do próximo ciclo")),"Alta",IF(OR(K197&lt;=45,J197="Já existe verba aprovada para esse tema"),"Média","Baixa")))</f>
        <v/>
      </c>
      <c r="T197" s="17"/>
      <c r="U197" s="17"/>
      <c r="V197" s="17"/>
      <c r="W197" s="17"/>
      <c r="X197" s="17"/>
      <c r="Y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6" t="str">
        <f aca="false">IF(K198="","",IF(AND(K198&lt;=45,OR(J198="Já existe verba aprovada para esse tema",J198="Entra no orçamento do próximo ciclo")),"Alta",IF(OR(K198&lt;=45,J198="Já existe verba aprovada para esse tema"),"Média","Baixa")))</f>
        <v/>
      </c>
      <c r="T198" s="17"/>
      <c r="U198" s="17"/>
      <c r="V198" s="17"/>
      <c r="W198" s="17"/>
      <c r="X198" s="17"/>
      <c r="Y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6" t="str">
        <f aca="false">IF(K199="","",IF(AND(K199&lt;=45,OR(J199="Já existe verba aprovada para esse tema",J199="Entra no orçamento do próximo ciclo")),"Alta",IF(OR(K199&lt;=45,J199="Já existe verba aprovada para esse tema"),"Média","Baixa")))</f>
        <v/>
      </c>
      <c r="T199" s="17"/>
      <c r="U199" s="17"/>
      <c r="V199" s="17"/>
      <c r="W199" s="17"/>
      <c r="X199" s="17"/>
      <c r="Y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6" t="str">
        <f aca="false">IF(K200="","",IF(AND(K200&lt;=45,OR(J200="Já existe verba aprovada para esse tema",J200="Entra no orçamento do próximo ciclo")),"Alta",IF(OR(K200&lt;=45,J200="Já existe verba aprovada para esse tema"),"Média","Baixa")))</f>
        <v/>
      </c>
      <c r="T200" s="17"/>
      <c r="U200" s="17"/>
      <c r="V200" s="17"/>
      <c r="W200" s="17"/>
      <c r="X200" s="17"/>
      <c r="Y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6" t="str">
        <f aca="false">IF(K201="","",IF(AND(K201&lt;=45,OR(J201="Já existe verba aprovada para esse tema",J201="Entra no orçamento do próximo ciclo")),"Alta",IF(OR(K201&lt;=45,J201="Já existe verba aprovada para esse tema"),"Média","Baixa")))</f>
        <v/>
      </c>
      <c r="T201" s="17"/>
      <c r="U201" s="17"/>
      <c r="V201" s="17"/>
      <c r="W201" s="17"/>
      <c r="X201" s="17"/>
      <c r="Y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6" t="str">
        <f aca="false">IF(K202="","",IF(AND(K202&lt;=45,OR(J202="Já existe verba aprovada para esse tema",J202="Entra no orçamento do próximo ciclo")),"Alta",IF(OR(K202&lt;=45,J202="Já existe verba aprovada para esse tema"),"Média","Baixa")))</f>
        <v/>
      </c>
      <c r="T202" s="17"/>
      <c r="U202" s="17"/>
      <c r="V202" s="17"/>
      <c r="W202" s="17"/>
      <c r="X202" s="17"/>
      <c r="Y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6" t="str">
        <f aca="false">IF(K203="","",IF(AND(K203&lt;=45,OR(J203="Já existe verba aprovada para esse tema",J203="Entra no orçamento do próximo ciclo")),"Alta",IF(OR(K203&lt;=45,J203="Já existe verba aprovada para esse tema"),"Média","Baixa")))</f>
        <v/>
      </c>
      <c r="T203" s="17"/>
      <c r="U203" s="17"/>
      <c r="V203" s="17"/>
      <c r="W203" s="17"/>
      <c r="X203" s="17"/>
      <c r="Y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6" t="str">
        <f aca="false">IF(K204="","",IF(AND(K204&lt;=45,OR(J204="Já existe verba aprovada para esse tema",J204="Entra no orçamento do próximo ciclo")),"Alta",IF(OR(K204&lt;=45,J204="Já existe verba aprovada para esse tema"),"Média","Baixa")))</f>
        <v/>
      </c>
      <c r="T204" s="17"/>
      <c r="U204" s="17"/>
      <c r="V204" s="17"/>
      <c r="W204" s="17"/>
      <c r="X204" s="17"/>
      <c r="Y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6" t="str">
        <f aca="false">IF(K205="","",IF(AND(K205&lt;=45,OR(J205="Já existe verba aprovada para esse tema",J205="Entra no orçamento do próximo ciclo")),"Alta",IF(OR(K205&lt;=45,J205="Já existe verba aprovada para esse tema"),"Média","Baixa")))</f>
        <v/>
      </c>
      <c r="T205" s="17"/>
      <c r="U205" s="17"/>
      <c r="V205" s="17"/>
      <c r="W205" s="17"/>
      <c r="X205" s="17"/>
      <c r="Y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6" t="str">
        <f aca="false">IF(K206="","",IF(AND(K206&lt;=45,OR(J206="Já existe verba aprovada para esse tema",J206="Entra no orçamento do próximo ciclo")),"Alta",IF(OR(K206&lt;=45,J206="Já existe verba aprovada para esse tema"),"Média","Baixa")))</f>
        <v/>
      </c>
      <c r="T206" s="17"/>
      <c r="U206" s="17"/>
      <c r="V206" s="17"/>
      <c r="W206" s="17"/>
      <c r="X206" s="17"/>
      <c r="Y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6" t="str">
        <f aca="false">IF(K207="","",IF(AND(K207&lt;=45,OR(J207="Já existe verba aprovada para esse tema",J207="Entra no orçamento do próximo ciclo")),"Alta",IF(OR(K207&lt;=45,J207="Já existe verba aprovada para esse tema"),"Média","Baixa")))</f>
        <v/>
      </c>
      <c r="T207" s="17"/>
      <c r="U207" s="17"/>
      <c r="V207" s="17"/>
      <c r="W207" s="17"/>
      <c r="X207" s="17"/>
      <c r="Y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6" t="str">
        <f aca="false">IF(K208="","",IF(AND(K208&lt;=45,OR(J208="Já existe verba aprovada para esse tema",J208="Entra no orçamento do próximo ciclo")),"Alta",IF(OR(K208&lt;=45,J208="Já existe verba aprovada para esse tema"),"Média","Baixa")))</f>
        <v/>
      </c>
      <c r="T208" s="17"/>
      <c r="U208" s="17"/>
      <c r="V208" s="17"/>
      <c r="W208" s="17"/>
      <c r="X208" s="17"/>
      <c r="Y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6" t="str">
        <f aca="false">IF(K209="","",IF(AND(K209&lt;=45,OR(J209="Já existe verba aprovada para esse tema",J209="Entra no orçamento do próximo ciclo")),"Alta",IF(OR(K209&lt;=45,J209="Já existe verba aprovada para esse tema"),"Média","Baixa")))</f>
        <v/>
      </c>
      <c r="T209" s="17"/>
      <c r="U209" s="17"/>
      <c r="V209" s="17"/>
      <c r="W209" s="17"/>
      <c r="X209" s="17"/>
      <c r="Y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6" t="str">
        <f aca="false">IF(K210="","",IF(AND(K210&lt;=45,OR(J210="Já existe verba aprovada para esse tema",J210="Entra no orçamento do próximo ciclo")),"Alta",IF(OR(K210&lt;=45,J210="Já existe verba aprovada para esse tema"),"Média","Baixa")))</f>
        <v/>
      </c>
      <c r="T210" s="17"/>
      <c r="U210" s="17"/>
      <c r="V210" s="17"/>
      <c r="W210" s="17"/>
      <c r="X210" s="17"/>
      <c r="Y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6" t="str">
        <f aca="false">IF(K211="","",IF(AND(K211&lt;=45,OR(J211="Já existe verba aprovada para esse tema",J211="Entra no orçamento do próximo ciclo")),"Alta",IF(OR(K211&lt;=45,J211="Já existe verba aprovada para esse tema"),"Média","Baixa")))</f>
        <v/>
      </c>
      <c r="T211" s="17"/>
      <c r="U211" s="17"/>
      <c r="V211" s="17"/>
      <c r="W211" s="17"/>
      <c r="X211" s="17"/>
      <c r="Y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6" t="str">
        <f aca="false">IF(K212="","",IF(AND(K212&lt;=45,OR(J212="Já existe verba aprovada para esse tema",J212="Entra no orçamento do próximo ciclo")),"Alta",IF(OR(K212&lt;=45,J212="Já existe verba aprovada para esse tema"),"Média","Baixa")))</f>
        <v/>
      </c>
      <c r="T212" s="17"/>
      <c r="U212" s="17"/>
      <c r="V212" s="17"/>
      <c r="W212" s="17"/>
      <c r="X212" s="17"/>
      <c r="Y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6" t="str">
        <f aca="false">IF(K213="","",IF(AND(K213&lt;=45,OR(J213="Já existe verba aprovada para esse tema",J213="Entra no orçamento do próximo ciclo")),"Alta",IF(OR(K213&lt;=45,J213="Já existe verba aprovada para esse tema"),"Média","Baixa")))</f>
        <v/>
      </c>
      <c r="T213" s="17"/>
      <c r="U213" s="17"/>
      <c r="V213" s="17"/>
      <c r="W213" s="17"/>
      <c r="X213" s="17"/>
      <c r="Y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6" t="str">
        <f aca="false">IF(K214="","",IF(AND(K214&lt;=45,OR(J214="Já existe verba aprovada para esse tema",J214="Entra no orçamento do próximo ciclo")),"Alta",IF(OR(K214&lt;=45,J214="Já existe verba aprovada para esse tema"),"Média","Baixa")))</f>
        <v/>
      </c>
      <c r="T214" s="17"/>
      <c r="U214" s="17"/>
      <c r="V214" s="17"/>
      <c r="W214" s="17"/>
      <c r="X214" s="17"/>
      <c r="Y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6" t="str">
        <f aca="false">IF(K215="","",IF(AND(K215&lt;=45,OR(J215="Já existe verba aprovada para esse tema",J215="Entra no orçamento do próximo ciclo")),"Alta",IF(OR(K215&lt;=45,J215="Já existe verba aprovada para esse tema"),"Média","Baixa")))</f>
        <v/>
      </c>
      <c r="T215" s="17"/>
      <c r="U215" s="17"/>
      <c r="V215" s="17"/>
      <c r="W215" s="17"/>
      <c r="X215" s="17"/>
      <c r="Y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6" t="str">
        <f aca="false">IF(K216="","",IF(AND(K216&lt;=45,OR(J216="Já existe verba aprovada para esse tema",J216="Entra no orçamento do próximo ciclo")),"Alta",IF(OR(K216&lt;=45,J216="Já existe verba aprovada para esse tema"),"Média","Baixa")))</f>
        <v/>
      </c>
      <c r="T216" s="17"/>
      <c r="U216" s="17"/>
      <c r="V216" s="17"/>
      <c r="W216" s="17"/>
      <c r="X216" s="17"/>
      <c r="Y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6" t="str">
        <f aca="false">IF(K217="","",IF(AND(K217&lt;=45,OR(J217="Já existe verba aprovada para esse tema",J217="Entra no orçamento do próximo ciclo")),"Alta",IF(OR(K217&lt;=45,J217="Já existe verba aprovada para esse tema"),"Média","Baixa")))</f>
        <v/>
      </c>
      <c r="T217" s="17"/>
      <c r="U217" s="17"/>
      <c r="V217" s="17"/>
      <c r="W217" s="17"/>
      <c r="X217" s="17"/>
      <c r="Y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6" t="str">
        <f aca="false">IF(K218="","",IF(AND(K218&lt;=45,OR(J218="Já existe verba aprovada para esse tema",J218="Entra no orçamento do próximo ciclo")),"Alta",IF(OR(K218&lt;=45,J218="Já existe verba aprovada para esse tema"),"Média","Baixa")))</f>
        <v/>
      </c>
      <c r="T218" s="17"/>
      <c r="U218" s="17"/>
      <c r="V218" s="17"/>
      <c r="W218" s="17"/>
      <c r="X218" s="17"/>
      <c r="Y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6" t="str">
        <f aca="false">IF(K219="","",IF(AND(K219&lt;=45,OR(J219="Já existe verba aprovada para esse tema",J219="Entra no orçamento do próximo ciclo")),"Alta",IF(OR(K219&lt;=45,J219="Já existe verba aprovada para esse tema"),"Média","Baixa")))</f>
        <v/>
      </c>
      <c r="T219" s="17"/>
      <c r="U219" s="17"/>
      <c r="V219" s="17"/>
      <c r="W219" s="17"/>
      <c r="X219" s="17"/>
      <c r="Y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6" t="str">
        <f aca="false">IF(K220="","",IF(AND(K220&lt;=45,OR(J220="Já existe verba aprovada para esse tema",J220="Entra no orçamento do próximo ciclo")),"Alta",IF(OR(K220&lt;=45,J220="Já existe verba aprovada para esse tema"),"Média","Baixa")))</f>
        <v/>
      </c>
      <c r="T220" s="17"/>
      <c r="U220" s="17"/>
      <c r="V220" s="17"/>
      <c r="W220" s="17"/>
      <c r="X220" s="17"/>
      <c r="Y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6" t="str">
        <f aca="false">IF(K221="","",IF(AND(K221&lt;=45,OR(J221="Já existe verba aprovada para esse tema",J221="Entra no orçamento do próximo ciclo")),"Alta",IF(OR(K221&lt;=45,J221="Já existe verba aprovada para esse tema"),"Média","Baixa")))</f>
        <v/>
      </c>
      <c r="T221" s="17"/>
      <c r="U221" s="17"/>
      <c r="V221" s="17"/>
      <c r="W221" s="17"/>
      <c r="X221" s="17"/>
      <c r="Y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6" t="str">
        <f aca="false">IF(K222="","",IF(AND(K222&lt;=45,OR(J222="Já existe verba aprovada para esse tema",J222="Entra no orçamento do próximo ciclo")),"Alta",IF(OR(K222&lt;=45,J222="Já existe verba aprovada para esse tema"),"Média","Baixa")))</f>
        <v/>
      </c>
      <c r="T222" s="17"/>
      <c r="U222" s="17"/>
      <c r="V222" s="17"/>
      <c r="W222" s="17"/>
      <c r="X222" s="17"/>
      <c r="Y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6" t="str">
        <f aca="false">IF(K223="","",IF(AND(K223&lt;=45,OR(J223="Já existe verba aprovada para esse tema",J223="Entra no orçamento do próximo ciclo")),"Alta",IF(OR(K223&lt;=45,J223="Já existe verba aprovada para esse tema"),"Média","Baixa")))</f>
        <v/>
      </c>
      <c r="T223" s="17"/>
      <c r="U223" s="17"/>
      <c r="V223" s="17"/>
      <c r="W223" s="17"/>
      <c r="X223" s="17"/>
      <c r="Y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6" t="str">
        <f aca="false">IF(K224="","",IF(AND(K224&lt;=45,OR(J224="Já existe verba aprovada para esse tema",J224="Entra no orçamento do próximo ciclo")),"Alta",IF(OR(K224&lt;=45,J224="Já existe verba aprovada para esse tema"),"Média","Baixa")))</f>
        <v/>
      </c>
      <c r="T224" s="17"/>
      <c r="U224" s="17"/>
      <c r="V224" s="17"/>
      <c r="W224" s="17"/>
      <c r="X224" s="17"/>
      <c r="Y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6" t="str">
        <f aca="false">IF(K225="","",IF(AND(K225&lt;=45,OR(J225="Já existe verba aprovada para esse tema",J225="Entra no orçamento do próximo ciclo")),"Alta",IF(OR(K225&lt;=45,J225="Já existe verba aprovada para esse tema"),"Média","Baixa")))</f>
        <v/>
      </c>
      <c r="T225" s="17"/>
      <c r="U225" s="17"/>
      <c r="V225" s="17"/>
      <c r="W225" s="17"/>
      <c r="X225" s="17"/>
      <c r="Y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6" t="str">
        <f aca="false">IF(K226="","",IF(AND(K226&lt;=45,OR(J226="Já existe verba aprovada para esse tema",J226="Entra no orçamento do próximo ciclo")),"Alta",IF(OR(K226&lt;=45,J226="Já existe verba aprovada para esse tema"),"Média","Baixa")))</f>
        <v/>
      </c>
      <c r="T226" s="17"/>
      <c r="U226" s="17"/>
      <c r="V226" s="17"/>
      <c r="W226" s="17"/>
      <c r="X226" s="17"/>
      <c r="Y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6" t="str">
        <f aca="false">IF(K227="","",IF(AND(K227&lt;=45,OR(J227="Já existe verba aprovada para esse tema",J227="Entra no orçamento do próximo ciclo")),"Alta",IF(OR(K227&lt;=45,J227="Já existe verba aprovada para esse tema"),"Média","Baixa")))</f>
        <v/>
      </c>
      <c r="T227" s="17"/>
      <c r="U227" s="17"/>
      <c r="V227" s="17"/>
      <c r="W227" s="17"/>
      <c r="X227" s="17"/>
      <c r="Y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6" t="str">
        <f aca="false">IF(K228="","",IF(AND(K228&lt;=45,OR(J228="Já existe verba aprovada para esse tema",J228="Entra no orçamento do próximo ciclo")),"Alta",IF(OR(K228&lt;=45,J228="Já existe verba aprovada para esse tema"),"Média","Baixa")))</f>
        <v/>
      </c>
      <c r="T228" s="17"/>
      <c r="U228" s="17"/>
      <c r="V228" s="17"/>
      <c r="W228" s="17"/>
      <c r="X228" s="17"/>
      <c r="Y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6" t="str">
        <f aca="false">IF(K229="","",IF(AND(K229&lt;=45,OR(J229="Já existe verba aprovada para esse tema",J229="Entra no orçamento do próximo ciclo")),"Alta",IF(OR(K229&lt;=45,J229="Já existe verba aprovada para esse tema"),"Média","Baixa")))</f>
        <v/>
      </c>
      <c r="T229" s="17"/>
      <c r="U229" s="17"/>
      <c r="V229" s="17"/>
      <c r="W229" s="17"/>
      <c r="X229" s="17"/>
      <c r="Y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6" t="str">
        <f aca="false">IF(K230="","",IF(AND(K230&lt;=45,OR(J230="Já existe verba aprovada para esse tema",J230="Entra no orçamento do próximo ciclo")),"Alta",IF(OR(K230&lt;=45,J230="Já existe verba aprovada para esse tema"),"Média","Baixa")))</f>
        <v/>
      </c>
      <c r="T230" s="17"/>
      <c r="U230" s="17"/>
      <c r="V230" s="17"/>
      <c r="W230" s="17"/>
      <c r="X230" s="17"/>
      <c r="Y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6" t="str">
        <f aca="false">IF(K231="","",IF(AND(K231&lt;=45,OR(J231="Já existe verba aprovada para esse tema",J231="Entra no orçamento do próximo ciclo")),"Alta",IF(OR(K231&lt;=45,J231="Já existe verba aprovada para esse tema"),"Média","Baixa")))</f>
        <v/>
      </c>
      <c r="T231" s="17"/>
      <c r="U231" s="17"/>
      <c r="V231" s="17"/>
      <c r="W231" s="17"/>
      <c r="X231" s="17"/>
      <c r="Y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6" t="str">
        <f aca="false">IF(K232="","",IF(AND(K232&lt;=45,OR(J232="Já existe verba aprovada para esse tema",J232="Entra no orçamento do próximo ciclo")),"Alta",IF(OR(K232&lt;=45,J232="Já existe verba aprovada para esse tema"),"Média","Baixa")))</f>
        <v/>
      </c>
      <c r="T232" s="17"/>
      <c r="U232" s="17"/>
      <c r="V232" s="17"/>
      <c r="W232" s="17"/>
      <c r="X232" s="17"/>
      <c r="Y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6" t="str">
        <f aca="false">IF(K233="","",IF(AND(K233&lt;=45,OR(J233="Já existe verba aprovada para esse tema",J233="Entra no orçamento do próximo ciclo")),"Alta",IF(OR(K233&lt;=45,J233="Já existe verba aprovada para esse tema"),"Média","Baixa")))</f>
        <v/>
      </c>
      <c r="T233" s="17"/>
      <c r="U233" s="17"/>
      <c r="V233" s="17"/>
      <c r="W233" s="17"/>
      <c r="X233" s="17"/>
      <c r="Y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6" t="str">
        <f aca="false">IF(K234="","",IF(AND(K234&lt;=45,OR(J234="Já existe verba aprovada para esse tema",J234="Entra no orçamento do próximo ciclo")),"Alta",IF(OR(K234&lt;=45,J234="Já existe verba aprovada para esse tema"),"Média","Baixa")))</f>
        <v/>
      </c>
      <c r="T234" s="17"/>
      <c r="U234" s="17"/>
      <c r="V234" s="17"/>
      <c r="W234" s="17"/>
      <c r="X234" s="17"/>
      <c r="Y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6" t="str">
        <f aca="false">IF(K235="","",IF(AND(K235&lt;=45,OR(J235="Já existe verba aprovada para esse tema",J235="Entra no orçamento do próximo ciclo")),"Alta",IF(OR(K235&lt;=45,J235="Já existe verba aprovada para esse tema"),"Média","Baixa")))</f>
        <v/>
      </c>
      <c r="T235" s="17"/>
      <c r="U235" s="17"/>
      <c r="V235" s="17"/>
      <c r="W235" s="17"/>
      <c r="X235" s="17"/>
      <c r="Y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6" t="str">
        <f aca="false">IF(K236="","",IF(AND(K236&lt;=45,OR(J236="Já existe verba aprovada para esse tema",J236="Entra no orçamento do próximo ciclo")),"Alta",IF(OR(K236&lt;=45,J236="Já existe verba aprovada para esse tema"),"Média","Baixa")))</f>
        <v/>
      </c>
      <c r="T236" s="17"/>
      <c r="U236" s="17"/>
      <c r="V236" s="17"/>
      <c r="W236" s="17"/>
      <c r="X236" s="17"/>
      <c r="Y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6" t="str">
        <f aca="false">IF(K237="","",IF(AND(K237&lt;=45,OR(J237="Já existe verba aprovada para esse tema",J237="Entra no orçamento do próximo ciclo")),"Alta",IF(OR(K237&lt;=45,J237="Já existe verba aprovada para esse tema"),"Média","Baixa")))</f>
        <v/>
      </c>
      <c r="T237" s="17"/>
      <c r="U237" s="17"/>
      <c r="V237" s="17"/>
      <c r="W237" s="17"/>
      <c r="X237" s="17"/>
      <c r="Y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6" t="str">
        <f aca="false">IF(K238="","",IF(AND(K238&lt;=45,OR(J238="Já existe verba aprovada para esse tema",J238="Entra no orçamento do próximo ciclo")),"Alta",IF(OR(K238&lt;=45,J238="Já existe verba aprovada para esse tema"),"Média","Baixa")))</f>
        <v/>
      </c>
      <c r="T238" s="17"/>
      <c r="U238" s="17"/>
      <c r="V238" s="17"/>
      <c r="W238" s="17"/>
      <c r="X238" s="17"/>
      <c r="Y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6" t="str">
        <f aca="false">IF(K239="","",IF(AND(K239&lt;=45,OR(J239="Já existe verba aprovada para esse tema",J239="Entra no orçamento do próximo ciclo")),"Alta",IF(OR(K239&lt;=45,J239="Já existe verba aprovada para esse tema"),"Média","Baixa")))</f>
        <v/>
      </c>
      <c r="T239" s="17"/>
      <c r="U239" s="17"/>
      <c r="V239" s="17"/>
      <c r="W239" s="17"/>
      <c r="X239" s="17"/>
      <c r="Y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6" t="str">
        <f aca="false">IF(K240="","",IF(AND(K240&lt;=45,OR(J240="Já existe verba aprovada para esse tema",J240="Entra no orçamento do próximo ciclo")),"Alta",IF(OR(K240&lt;=45,J240="Já existe verba aprovada para esse tema"),"Média","Baixa")))</f>
        <v/>
      </c>
      <c r="T240" s="17"/>
      <c r="U240" s="17"/>
      <c r="V240" s="17"/>
      <c r="W240" s="17"/>
      <c r="X240" s="17"/>
      <c r="Y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6" t="str">
        <f aca="false">IF(K241="","",IF(AND(K241&lt;=45,OR(J241="Já existe verba aprovada para esse tema",J241="Entra no orçamento do próximo ciclo")),"Alta",IF(OR(K241&lt;=45,J241="Já existe verba aprovada para esse tema"),"Média","Baixa")))</f>
        <v/>
      </c>
      <c r="T241" s="17"/>
      <c r="U241" s="17"/>
      <c r="V241" s="17"/>
      <c r="W241" s="17"/>
      <c r="X241" s="17"/>
      <c r="Y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6" t="str">
        <f aca="false">IF(K242="","",IF(AND(K242&lt;=45,OR(J242="Já existe verba aprovada para esse tema",J242="Entra no orçamento do próximo ciclo")),"Alta",IF(OR(K242&lt;=45,J242="Já existe verba aprovada para esse tema"),"Média","Baixa")))</f>
        <v/>
      </c>
      <c r="T242" s="17"/>
      <c r="U242" s="17"/>
      <c r="V242" s="17"/>
      <c r="W242" s="17"/>
      <c r="X242" s="17"/>
      <c r="Y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6" t="str">
        <f aca="false">IF(K243="","",IF(AND(K243&lt;=45,OR(J243="Já existe verba aprovada para esse tema",J243="Entra no orçamento do próximo ciclo")),"Alta",IF(OR(K243&lt;=45,J243="Já existe verba aprovada para esse tema"),"Média","Baixa")))</f>
        <v/>
      </c>
      <c r="T243" s="17"/>
      <c r="U243" s="17"/>
      <c r="V243" s="17"/>
      <c r="W243" s="17"/>
      <c r="X243" s="17"/>
      <c r="Y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6" t="str">
        <f aca="false">IF(K244="","",IF(AND(K244&lt;=45,OR(J244="Já existe verba aprovada para esse tema",J244="Entra no orçamento do próximo ciclo")),"Alta",IF(OR(K244&lt;=45,J244="Já existe verba aprovada para esse tema"),"Média","Baixa")))</f>
        <v/>
      </c>
      <c r="T244" s="17"/>
      <c r="U244" s="17"/>
      <c r="V244" s="17"/>
      <c r="W244" s="17"/>
      <c r="X244" s="17"/>
      <c r="Y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6" t="str">
        <f aca="false">IF(K245="","",IF(AND(K245&lt;=45,OR(J245="Já existe verba aprovada para esse tema",J245="Entra no orçamento do próximo ciclo")),"Alta",IF(OR(K245&lt;=45,J245="Já existe verba aprovada para esse tema"),"Média","Baixa")))</f>
        <v/>
      </c>
      <c r="T245" s="17"/>
      <c r="U245" s="17"/>
      <c r="V245" s="17"/>
      <c r="W245" s="17"/>
      <c r="X245" s="17"/>
      <c r="Y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6" t="str">
        <f aca="false">IF(K246="","",IF(AND(K246&lt;=45,OR(J246="Já existe verba aprovada para esse tema",J246="Entra no orçamento do próximo ciclo")),"Alta",IF(OR(K246&lt;=45,J246="Já existe verba aprovada para esse tema"),"Média","Baixa")))</f>
        <v/>
      </c>
      <c r="T246" s="17"/>
      <c r="U246" s="17"/>
      <c r="V246" s="17"/>
      <c r="W246" s="17"/>
      <c r="X246" s="17"/>
      <c r="Y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6" t="str">
        <f aca="false">IF(K247="","",IF(AND(K247&lt;=45,OR(J247="Já existe verba aprovada para esse tema",J247="Entra no orçamento do próximo ciclo")),"Alta",IF(OR(K247&lt;=45,J247="Já existe verba aprovada para esse tema"),"Média","Baixa")))</f>
        <v/>
      </c>
      <c r="T247" s="17"/>
      <c r="U247" s="17"/>
      <c r="V247" s="17"/>
      <c r="W247" s="17"/>
      <c r="X247" s="17"/>
      <c r="Y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6" t="str">
        <f aca="false">IF(K248="","",IF(AND(K248&lt;=45,OR(J248="Já existe verba aprovada para esse tema",J248="Entra no orçamento do próximo ciclo")),"Alta",IF(OR(K248&lt;=45,J248="Já existe verba aprovada para esse tema"),"Média","Baixa")))</f>
        <v/>
      </c>
      <c r="T248" s="17"/>
      <c r="U248" s="17"/>
      <c r="V248" s="17"/>
      <c r="W248" s="17"/>
      <c r="X248" s="17"/>
      <c r="Y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6" t="str">
        <f aca="false">IF(K249="","",IF(AND(K249&lt;=45,OR(J249="Já existe verba aprovada para esse tema",J249="Entra no orçamento do próximo ciclo")),"Alta",IF(OR(K249&lt;=45,J249="Já existe verba aprovada para esse tema"),"Média","Baixa")))</f>
        <v/>
      </c>
      <c r="T249" s="17"/>
      <c r="U249" s="17"/>
      <c r="V249" s="17"/>
      <c r="W249" s="17"/>
      <c r="X249" s="17"/>
      <c r="Y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6" t="str">
        <f aca="false">IF(K250="","",IF(AND(K250&lt;=45,OR(J250="Já existe verba aprovada para esse tema",J250="Entra no orçamento do próximo ciclo")),"Alta",IF(OR(K250&lt;=45,J250="Já existe verba aprovada para esse tema"),"Média","Baixa")))</f>
        <v/>
      </c>
      <c r="T250" s="17"/>
      <c r="U250" s="17"/>
      <c r="V250" s="17"/>
      <c r="W250" s="17"/>
      <c r="X250" s="17"/>
      <c r="Y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6" t="str">
        <f aca="false">IF(K251="","",IF(AND(K251&lt;=45,OR(J251="Já existe verba aprovada para esse tema",J251="Entra no orçamento do próximo ciclo")),"Alta",IF(OR(K251&lt;=45,J251="Já existe verba aprovada para esse tema"),"Média","Baixa")))</f>
        <v/>
      </c>
      <c r="T251" s="17"/>
      <c r="U251" s="17"/>
      <c r="V251" s="17"/>
      <c r="W251" s="17"/>
      <c r="X251" s="17"/>
      <c r="Y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6" t="str">
        <f aca="false">IF(K252="","",IF(AND(K252&lt;=45,OR(J252="Já existe verba aprovada para esse tema",J252="Entra no orçamento do próximo ciclo")),"Alta",IF(OR(K252&lt;=45,J252="Já existe verba aprovada para esse tema"),"Média","Baixa")))</f>
        <v/>
      </c>
      <c r="T252" s="17"/>
      <c r="U252" s="17"/>
      <c r="V252" s="17"/>
      <c r="W252" s="17"/>
      <c r="X252" s="17"/>
      <c r="Y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6" t="str">
        <f aca="false">IF(K253="","",IF(AND(K253&lt;=45,OR(J253="Já existe verba aprovada para esse tema",J253="Entra no orçamento do próximo ciclo")),"Alta",IF(OR(K253&lt;=45,J253="Já existe verba aprovada para esse tema"),"Média","Baixa")))</f>
        <v/>
      </c>
      <c r="T253" s="17"/>
      <c r="U253" s="17"/>
      <c r="V253" s="17"/>
      <c r="W253" s="17"/>
      <c r="X253" s="17"/>
      <c r="Y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6" t="str">
        <f aca="false">IF(K254="","",IF(AND(K254&lt;=45,OR(J254="Já existe verba aprovada para esse tema",J254="Entra no orçamento do próximo ciclo")),"Alta",IF(OR(K254&lt;=45,J254="Já existe verba aprovada para esse tema"),"Média","Baixa")))</f>
        <v/>
      </c>
      <c r="T254" s="17"/>
      <c r="U254" s="17"/>
      <c r="V254" s="17"/>
      <c r="W254" s="17"/>
      <c r="X254" s="17"/>
      <c r="Y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6" t="str">
        <f aca="false">IF(K255="","",IF(AND(K255&lt;=45,OR(J255="Já existe verba aprovada para esse tema",J255="Entra no orçamento do próximo ciclo")),"Alta",IF(OR(K255&lt;=45,J255="Já existe verba aprovada para esse tema"),"Média","Baixa")))</f>
        <v/>
      </c>
      <c r="T255" s="17"/>
      <c r="U255" s="17"/>
      <c r="V255" s="17"/>
      <c r="W255" s="17"/>
      <c r="X255" s="17"/>
      <c r="Y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6" t="str">
        <f aca="false">IF(K256="","",IF(AND(K256&lt;=45,OR(J256="Já existe verba aprovada para esse tema",J256="Entra no orçamento do próximo ciclo")),"Alta",IF(OR(K256&lt;=45,J256="Já existe verba aprovada para esse tema"),"Média","Baixa")))</f>
        <v/>
      </c>
      <c r="T256" s="17"/>
      <c r="U256" s="17"/>
      <c r="V256" s="17"/>
      <c r="W256" s="17"/>
      <c r="X256" s="17"/>
      <c r="Y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6" t="str">
        <f aca="false">IF(K257="","",IF(AND(K257&lt;=45,OR(J257="Já existe verba aprovada para esse tema",J257="Entra no orçamento do próximo ciclo")),"Alta",IF(OR(K257&lt;=45,J257="Já existe verba aprovada para esse tema"),"Média","Baixa")))</f>
        <v/>
      </c>
      <c r="T257" s="17"/>
      <c r="U257" s="17"/>
      <c r="V257" s="17"/>
      <c r="W257" s="17"/>
      <c r="X257" s="17"/>
      <c r="Y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6" t="str">
        <f aca="false">IF(K258="","",IF(AND(K258&lt;=45,OR(J258="Já existe verba aprovada para esse tema",J258="Entra no orçamento do próximo ciclo")),"Alta",IF(OR(K258&lt;=45,J258="Já existe verba aprovada para esse tema"),"Média","Baixa")))</f>
        <v/>
      </c>
      <c r="T258" s="17"/>
      <c r="U258" s="17"/>
      <c r="V258" s="17"/>
      <c r="W258" s="17"/>
      <c r="X258" s="17"/>
      <c r="Y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6" t="str">
        <f aca="false">IF(K259="","",IF(AND(K259&lt;=45,OR(J259="Já existe verba aprovada para esse tema",J259="Entra no orçamento do próximo ciclo")),"Alta",IF(OR(K259&lt;=45,J259="Já existe verba aprovada para esse tema"),"Média","Baixa")))</f>
        <v/>
      </c>
      <c r="T259" s="17"/>
      <c r="U259" s="17"/>
      <c r="V259" s="17"/>
      <c r="W259" s="17"/>
      <c r="X259" s="17"/>
      <c r="Y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6" t="str">
        <f aca="false">IF(K260="","",IF(AND(K260&lt;=45,OR(J260="Já existe verba aprovada para esse tema",J260="Entra no orçamento do próximo ciclo")),"Alta",IF(OR(K260&lt;=45,J260="Já existe verba aprovada para esse tema"),"Média","Baixa")))</f>
        <v/>
      </c>
      <c r="T260" s="17"/>
      <c r="U260" s="17"/>
      <c r="V260" s="17"/>
      <c r="W260" s="17"/>
      <c r="X260" s="17"/>
      <c r="Y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6" t="str">
        <f aca="false">IF(K261="","",IF(AND(K261&lt;=45,OR(J261="Já existe verba aprovada para esse tema",J261="Entra no orçamento do próximo ciclo")),"Alta",IF(OR(K261&lt;=45,J261="Já existe verba aprovada para esse tema"),"Média","Baixa")))</f>
        <v/>
      </c>
      <c r="T261" s="17"/>
      <c r="U261" s="17"/>
      <c r="V261" s="17"/>
      <c r="W261" s="17"/>
      <c r="X261" s="17"/>
      <c r="Y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6" t="str">
        <f aca="false">IF(K262="","",IF(AND(K262&lt;=45,OR(J262="Já existe verba aprovada para esse tema",J262="Entra no orçamento do próximo ciclo")),"Alta",IF(OR(K262&lt;=45,J262="Já existe verba aprovada para esse tema"),"Média","Baixa")))</f>
        <v/>
      </c>
      <c r="T262" s="17"/>
      <c r="U262" s="17"/>
      <c r="V262" s="17"/>
      <c r="W262" s="17"/>
      <c r="X262" s="17"/>
      <c r="Y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6" t="str">
        <f aca="false">IF(K263="","",IF(AND(K263&lt;=45,OR(J263="Já existe verba aprovada para esse tema",J263="Entra no orçamento do próximo ciclo")),"Alta",IF(OR(K263&lt;=45,J263="Já existe verba aprovada para esse tema"),"Média","Baixa")))</f>
        <v/>
      </c>
      <c r="T263" s="17"/>
      <c r="U263" s="17"/>
      <c r="V263" s="17"/>
      <c r="W263" s="17"/>
      <c r="X263" s="17"/>
      <c r="Y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6" t="str">
        <f aca="false">IF(K264="","",IF(AND(K264&lt;=45,OR(J264="Já existe verba aprovada para esse tema",J264="Entra no orçamento do próximo ciclo")),"Alta",IF(OR(K264&lt;=45,J264="Já existe verba aprovada para esse tema"),"Média","Baixa")))</f>
        <v/>
      </c>
      <c r="T264" s="17"/>
      <c r="U264" s="17"/>
      <c r="V264" s="17"/>
      <c r="W264" s="17"/>
      <c r="X264" s="17"/>
      <c r="Y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6" t="str">
        <f aca="false">IF(K265="","",IF(AND(K265&lt;=45,OR(J265="Já existe verba aprovada para esse tema",J265="Entra no orçamento do próximo ciclo")),"Alta",IF(OR(K265&lt;=45,J265="Já existe verba aprovada para esse tema"),"Média","Baixa")))</f>
        <v/>
      </c>
      <c r="T265" s="17"/>
      <c r="U265" s="17"/>
      <c r="V265" s="17"/>
      <c r="W265" s="17"/>
      <c r="X265" s="17"/>
      <c r="Y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6" t="str">
        <f aca="false">IF(K266="","",IF(AND(K266&lt;=45,OR(J266="Já existe verba aprovada para esse tema",J266="Entra no orçamento do próximo ciclo")),"Alta",IF(OR(K266&lt;=45,J266="Já existe verba aprovada para esse tema"),"Média","Baixa")))</f>
        <v/>
      </c>
      <c r="T266" s="17"/>
      <c r="U266" s="17"/>
      <c r="V266" s="17"/>
      <c r="W266" s="17"/>
      <c r="X266" s="17"/>
      <c r="Y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6" t="str">
        <f aca="false">IF(K267="","",IF(AND(K267&lt;=45,OR(J267="Já existe verba aprovada para esse tema",J267="Entra no orçamento do próximo ciclo")),"Alta",IF(OR(K267&lt;=45,J267="Já existe verba aprovada para esse tema"),"Média","Baixa")))</f>
        <v/>
      </c>
      <c r="T267" s="17"/>
      <c r="U267" s="17"/>
      <c r="V267" s="17"/>
      <c r="W267" s="17"/>
      <c r="X267" s="17"/>
      <c r="Y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6" t="str">
        <f aca="false">IF(K268="","",IF(AND(K268&lt;=45,OR(J268="Já existe verba aprovada para esse tema",J268="Entra no orçamento do próximo ciclo")),"Alta",IF(OR(K268&lt;=45,J268="Já existe verba aprovada para esse tema"),"Média","Baixa")))</f>
        <v/>
      </c>
      <c r="T268" s="17"/>
      <c r="U268" s="17"/>
      <c r="V268" s="17"/>
      <c r="W268" s="17"/>
      <c r="X268" s="17"/>
      <c r="Y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6" t="str">
        <f aca="false">IF(K269="","",IF(AND(K269&lt;=45,OR(J269="Já existe verba aprovada para esse tema",J269="Entra no orçamento do próximo ciclo")),"Alta",IF(OR(K269&lt;=45,J269="Já existe verba aprovada para esse tema"),"Média","Baixa")))</f>
        <v/>
      </c>
      <c r="T269" s="17"/>
      <c r="U269" s="17"/>
      <c r="V269" s="17"/>
      <c r="W269" s="17"/>
      <c r="X269" s="17"/>
      <c r="Y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6" t="str">
        <f aca="false">IF(K270="","",IF(AND(K270&lt;=45,OR(J270="Já existe verba aprovada para esse tema",J270="Entra no orçamento do próximo ciclo")),"Alta",IF(OR(K270&lt;=45,J270="Já existe verba aprovada para esse tema"),"Média","Baixa")))</f>
        <v/>
      </c>
      <c r="T270" s="17"/>
      <c r="U270" s="17"/>
      <c r="V270" s="17"/>
      <c r="W270" s="17"/>
      <c r="X270" s="17"/>
      <c r="Y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6" t="str">
        <f aca="false">IF(K271="","",IF(AND(K271&lt;=45,OR(J271="Já existe verba aprovada para esse tema",J271="Entra no orçamento do próximo ciclo")),"Alta",IF(OR(K271&lt;=45,J271="Já existe verba aprovada para esse tema"),"Média","Baixa")))</f>
        <v/>
      </c>
      <c r="T271" s="17"/>
      <c r="U271" s="17"/>
      <c r="V271" s="17"/>
      <c r="W271" s="17"/>
      <c r="X271" s="17"/>
      <c r="Y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6" t="str">
        <f aca="false">IF(K272="","",IF(AND(K272&lt;=45,OR(J272="Já existe verba aprovada para esse tema",J272="Entra no orçamento do próximo ciclo")),"Alta",IF(OR(K272&lt;=45,J272="Já existe verba aprovada para esse tema"),"Média","Baixa")))</f>
        <v/>
      </c>
      <c r="T272" s="17"/>
      <c r="U272" s="17"/>
      <c r="V272" s="17"/>
      <c r="W272" s="17"/>
      <c r="X272" s="17"/>
      <c r="Y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6" t="str">
        <f aca="false">IF(K273="","",IF(AND(K273&lt;=45,OR(J273="Já existe verba aprovada para esse tema",J273="Entra no orçamento do próximo ciclo")),"Alta",IF(OR(K273&lt;=45,J273="Já existe verba aprovada para esse tema"),"Média","Baixa")))</f>
        <v/>
      </c>
      <c r="T273" s="17"/>
      <c r="U273" s="17"/>
      <c r="V273" s="17"/>
      <c r="W273" s="17"/>
      <c r="X273" s="17"/>
      <c r="Y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6" t="str">
        <f aca="false">IF(K274="","",IF(AND(K274&lt;=45,OR(J274="Já existe verba aprovada para esse tema",J274="Entra no orçamento do próximo ciclo")),"Alta",IF(OR(K274&lt;=45,J274="Já existe verba aprovada para esse tema"),"Média","Baixa")))</f>
        <v/>
      </c>
      <c r="T274" s="17"/>
      <c r="U274" s="17"/>
      <c r="V274" s="17"/>
      <c r="W274" s="17"/>
      <c r="X274" s="17"/>
      <c r="Y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6" t="str">
        <f aca="false">IF(K275="","",IF(AND(K275&lt;=45,OR(J275="Já existe verba aprovada para esse tema",J275="Entra no orçamento do próximo ciclo")),"Alta",IF(OR(K275&lt;=45,J275="Já existe verba aprovada para esse tema"),"Média","Baixa")))</f>
        <v/>
      </c>
      <c r="T275" s="17"/>
      <c r="U275" s="17"/>
      <c r="V275" s="17"/>
      <c r="W275" s="17"/>
      <c r="X275" s="17"/>
      <c r="Y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6" t="str">
        <f aca="false">IF(K276="","",IF(AND(K276&lt;=45,OR(J276="Já existe verba aprovada para esse tema",J276="Entra no orçamento do próximo ciclo")),"Alta",IF(OR(K276&lt;=45,J276="Já existe verba aprovada para esse tema"),"Média","Baixa")))</f>
        <v/>
      </c>
      <c r="T276" s="17"/>
      <c r="U276" s="17"/>
      <c r="V276" s="17"/>
      <c r="W276" s="17"/>
      <c r="X276" s="17"/>
      <c r="Y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6" t="str">
        <f aca="false">IF(K277="","",IF(AND(K277&lt;=45,OR(J277="Já existe verba aprovada para esse tema",J277="Entra no orçamento do próximo ciclo")),"Alta",IF(OR(K277&lt;=45,J277="Já existe verba aprovada para esse tema"),"Média","Baixa")))</f>
        <v/>
      </c>
      <c r="T277" s="17"/>
      <c r="U277" s="17"/>
      <c r="V277" s="17"/>
      <c r="W277" s="17"/>
      <c r="X277" s="17"/>
      <c r="Y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6" t="str">
        <f aca="false">IF(K278="","",IF(AND(K278&lt;=45,OR(J278="Já existe verba aprovada para esse tema",J278="Entra no orçamento do próximo ciclo")),"Alta",IF(OR(K278&lt;=45,J278="Já existe verba aprovada para esse tema"),"Média","Baixa")))</f>
        <v/>
      </c>
      <c r="T278" s="17"/>
      <c r="U278" s="17"/>
      <c r="V278" s="17"/>
      <c r="W278" s="17"/>
      <c r="X278" s="17"/>
      <c r="Y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6" t="str">
        <f aca="false">IF(K279="","",IF(AND(K279&lt;=45,OR(J279="Já existe verba aprovada para esse tema",J279="Entra no orçamento do próximo ciclo")),"Alta",IF(OR(K279&lt;=45,J279="Já existe verba aprovada para esse tema"),"Média","Baixa")))</f>
        <v/>
      </c>
      <c r="T279" s="17"/>
      <c r="U279" s="17"/>
      <c r="V279" s="17"/>
      <c r="W279" s="17"/>
      <c r="X279" s="17"/>
      <c r="Y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6" t="str">
        <f aca="false">IF(K280="","",IF(AND(K280&lt;=45,OR(J280="Já existe verba aprovada para esse tema",J280="Entra no orçamento do próximo ciclo")),"Alta",IF(OR(K280&lt;=45,J280="Já existe verba aprovada para esse tema"),"Média","Baixa")))</f>
        <v/>
      </c>
      <c r="T280" s="17"/>
      <c r="U280" s="17"/>
      <c r="V280" s="17"/>
      <c r="W280" s="17"/>
      <c r="X280" s="17"/>
      <c r="Y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6" t="str">
        <f aca="false">IF(K281="","",IF(AND(K281&lt;=45,OR(J281="Já existe verba aprovada para esse tema",J281="Entra no orçamento do próximo ciclo")),"Alta",IF(OR(K281&lt;=45,J281="Já existe verba aprovada para esse tema"),"Média","Baixa")))</f>
        <v/>
      </c>
      <c r="T281" s="17"/>
      <c r="U281" s="17"/>
      <c r="V281" s="17"/>
      <c r="W281" s="17"/>
      <c r="X281" s="17"/>
      <c r="Y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6" t="str">
        <f aca="false">IF(K282="","",IF(AND(K282&lt;=45,OR(J282="Já existe verba aprovada para esse tema",J282="Entra no orçamento do próximo ciclo")),"Alta",IF(OR(K282&lt;=45,J282="Já existe verba aprovada para esse tema"),"Média","Baixa")))</f>
        <v/>
      </c>
      <c r="T282" s="17"/>
      <c r="U282" s="17"/>
      <c r="V282" s="17"/>
      <c r="W282" s="17"/>
      <c r="X282" s="17"/>
      <c r="Y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6" t="str">
        <f aca="false">IF(K283="","",IF(AND(K283&lt;=45,OR(J283="Já existe verba aprovada para esse tema",J283="Entra no orçamento do próximo ciclo")),"Alta",IF(OR(K283&lt;=45,J283="Já existe verba aprovada para esse tema"),"Média","Baixa")))</f>
        <v/>
      </c>
      <c r="T283" s="17"/>
      <c r="U283" s="17"/>
      <c r="V283" s="17"/>
      <c r="W283" s="17"/>
      <c r="X283" s="17"/>
      <c r="Y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6" t="str">
        <f aca="false">IF(K284="","",IF(AND(K284&lt;=45,OR(J284="Já existe verba aprovada para esse tema",J284="Entra no orçamento do próximo ciclo")),"Alta",IF(OR(K284&lt;=45,J284="Já existe verba aprovada para esse tema"),"Média","Baixa")))</f>
        <v/>
      </c>
      <c r="T284" s="17"/>
      <c r="U284" s="17"/>
      <c r="V284" s="17"/>
      <c r="W284" s="17"/>
      <c r="X284" s="17"/>
      <c r="Y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6" t="str">
        <f aca="false">IF(K285="","",IF(AND(K285&lt;=45,OR(J285="Já existe verba aprovada para esse tema",J285="Entra no orçamento do próximo ciclo")),"Alta",IF(OR(K285&lt;=45,J285="Já existe verba aprovada para esse tema"),"Média","Baixa")))</f>
        <v/>
      </c>
      <c r="T285" s="17"/>
      <c r="U285" s="17"/>
      <c r="V285" s="17"/>
      <c r="W285" s="17"/>
      <c r="X285" s="17"/>
      <c r="Y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6" t="str">
        <f aca="false">IF(K286="","",IF(AND(K286&lt;=45,OR(J286="Já existe verba aprovada para esse tema",J286="Entra no orçamento do próximo ciclo")),"Alta",IF(OR(K286&lt;=45,J286="Já existe verba aprovada para esse tema"),"Média","Baixa")))</f>
        <v/>
      </c>
      <c r="T286" s="17"/>
      <c r="U286" s="17"/>
      <c r="V286" s="17"/>
      <c r="W286" s="17"/>
      <c r="X286" s="17"/>
      <c r="Y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6" t="str">
        <f aca="false">IF(K287="","",IF(AND(K287&lt;=45,OR(J287="Já existe verba aprovada para esse tema",J287="Entra no orçamento do próximo ciclo")),"Alta",IF(OR(K287&lt;=45,J287="Já existe verba aprovada para esse tema"),"Média","Baixa")))</f>
        <v/>
      </c>
      <c r="T287" s="17"/>
      <c r="U287" s="17"/>
      <c r="V287" s="17"/>
      <c r="W287" s="17"/>
      <c r="X287" s="17"/>
      <c r="Y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6" t="str">
        <f aca="false">IF(K288="","",IF(AND(K288&lt;=45,OR(J288="Já existe verba aprovada para esse tema",J288="Entra no orçamento do próximo ciclo")),"Alta",IF(OR(K288&lt;=45,J288="Já existe verba aprovada para esse tema"),"Média","Baixa")))</f>
        <v/>
      </c>
      <c r="T288" s="17"/>
      <c r="U288" s="17"/>
      <c r="V288" s="17"/>
      <c r="W288" s="17"/>
      <c r="X288" s="17"/>
      <c r="Y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6" t="str">
        <f aca="false">IF(K289="","",IF(AND(K289&lt;=45,OR(J289="Já existe verba aprovada para esse tema",J289="Entra no orçamento do próximo ciclo")),"Alta",IF(OR(K289&lt;=45,J289="Já existe verba aprovada para esse tema"),"Média","Baixa")))</f>
        <v/>
      </c>
      <c r="T289" s="17"/>
      <c r="U289" s="17"/>
      <c r="V289" s="17"/>
      <c r="W289" s="17"/>
      <c r="X289" s="17"/>
      <c r="Y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6" t="str">
        <f aca="false">IF(K290="","",IF(AND(K290&lt;=45,OR(J290="Já existe verba aprovada para esse tema",J290="Entra no orçamento do próximo ciclo")),"Alta",IF(OR(K290&lt;=45,J290="Já existe verba aprovada para esse tema"),"Média","Baixa")))</f>
        <v/>
      </c>
      <c r="T290" s="17"/>
      <c r="U290" s="17"/>
      <c r="V290" s="17"/>
      <c r="W290" s="17"/>
      <c r="X290" s="17"/>
      <c r="Y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6" t="str">
        <f aca="false">IF(K291="","",IF(AND(K291&lt;=45,OR(J291="Já existe verba aprovada para esse tema",J291="Entra no orçamento do próximo ciclo")),"Alta",IF(OR(K291&lt;=45,J291="Já existe verba aprovada para esse tema"),"Média","Baixa")))</f>
        <v/>
      </c>
      <c r="T291" s="17"/>
      <c r="U291" s="17"/>
      <c r="V291" s="17"/>
      <c r="W291" s="17"/>
      <c r="X291" s="17"/>
      <c r="Y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6" t="str">
        <f aca="false">IF(K292="","",IF(AND(K292&lt;=45,OR(J292="Já existe verba aprovada para esse tema",J292="Entra no orçamento do próximo ciclo")),"Alta",IF(OR(K292&lt;=45,J292="Já existe verba aprovada para esse tema"),"Média","Baixa")))</f>
        <v/>
      </c>
      <c r="T292" s="17"/>
      <c r="U292" s="17"/>
      <c r="V292" s="17"/>
      <c r="W292" s="17"/>
      <c r="X292" s="17"/>
      <c r="Y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6" t="str">
        <f aca="false">IF(K293="","",IF(AND(K293&lt;=45,OR(J293="Já existe verba aprovada para esse tema",J293="Entra no orçamento do próximo ciclo")),"Alta",IF(OR(K293&lt;=45,J293="Já existe verba aprovada para esse tema"),"Média","Baixa")))</f>
        <v/>
      </c>
      <c r="T293" s="17"/>
      <c r="U293" s="17"/>
      <c r="V293" s="17"/>
      <c r="W293" s="17"/>
      <c r="X293" s="17"/>
      <c r="Y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6" t="str">
        <f aca="false">IF(K294="","",IF(AND(K294&lt;=45,OR(J294="Já existe verba aprovada para esse tema",J294="Entra no orçamento do próximo ciclo")),"Alta",IF(OR(K294&lt;=45,J294="Já existe verba aprovada para esse tema"),"Média","Baixa")))</f>
        <v/>
      </c>
      <c r="T294" s="17"/>
      <c r="U294" s="17"/>
      <c r="V294" s="17"/>
      <c r="W294" s="17"/>
      <c r="X294" s="17"/>
      <c r="Y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6" t="str">
        <f aca="false">IF(K295="","",IF(AND(K295&lt;=45,OR(J295="Já existe verba aprovada para esse tema",J295="Entra no orçamento do próximo ciclo")),"Alta",IF(OR(K295&lt;=45,J295="Já existe verba aprovada para esse tema"),"Média","Baixa")))</f>
        <v/>
      </c>
      <c r="T295" s="17"/>
      <c r="U295" s="17"/>
      <c r="V295" s="17"/>
      <c r="W295" s="17"/>
      <c r="X295" s="17"/>
      <c r="Y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6" t="str">
        <f aca="false">IF(K296="","",IF(AND(K296&lt;=45,OR(J296="Já existe verba aprovada para esse tema",J296="Entra no orçamento do próximo ciclo")),"Alta",IF(OR(K296&lt;=45,J296="Já existe verba aprovada para esse tema"),"Média","Baixa")))</f>
        <v/>
      </c>
      <c r="T296" s="17"/>
      <c r="U296" s="17"/>
      <c r="V296" s="17"/>
      <c r="W296" s="17"/>
      <c r="X296" s="17"/>
      <c r="Y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6" t="str">
        <f aca="false">IF(K297="","",IF(AND(K297&lt;=45,OR(J297="Já existe verba aprovada para esse tema",J297="Entra no orçamento do próximo ciclo")),"Alta",IF(OR(K297&lt;=45,J297="Já existe verba aprovada para esse tema"),"Média","Baixa")))</f>
        <v/>
      </c>
      <c r="T297" s="17"/>
      <c r="U297" s="17"/>
      <c r="V297" s="17"/>
      <c r="W297" s="17"/>
      <c r="X297" s="17"/>
      <c r="Y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6" t="str">
        <f aca="false">IF(K298="","",IF(AND(K298&lt;=45,OR(J298="Já existe verba aprovada para esse tema",J298="Entra no orçamento do próximo ciclo")),"Alta",IF(OR(K298&lt;=45,J298="Já existe verba aprovada para esse tema"),"Média","Baixa")))</f>
        <v/>
      </c>
      <c r="T298" s="17"/>
      <c r="U298" s="17"/>
      <c r="V298" s="17"/>
      <c r="W298" s="17"/>
      <c r="X298" s="17"/>
      <c r="Y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6" t="str">
        <f aca="false">IF(K299="","",IF(AND(K299&lt;=45,OR(J299="Já existe verba aprovada para esse tema",J299="Entra no orçamento do próximo ciclo")),"Alta",IF(OR(K299&lt;=45,J299="Já existe verba aprovada para esse tema"),"Média","Baixa")))</f>
        <v/>
      </c>
      <c r="T299" s="17"/>
      <c r="U299" s="17"/>
      <c r="V299" s="17"/>
      <c r="W299" s="17"/>
      <c r="X299" s="17"/>
      <c r="Y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6" t="str">
        <f aca="false">IF(K300="","",IF(AND(K300&lt;=45,OR(J300="Já existe verba aprovada para esse tema",J300="Entra no orçamento do próximo ciclo")),"Alta",IF(OR(K300&lt;=45,J300="Já existe verba aprovada para esse tema"),"Média","Baixa")))</f>
        <v/>
      </c>
      <c r="T300" s="17"/>
      <c r="U300" s="17"/>
      <c r="V300" s="17"/>
      <c r="W300" s="17"/>
      <c r="X300" s="17"/>
      <c r="Y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6" t="str">
        <f aca="false">IF(K301="","",IF(AND(K301&lt;=45,OR(J301="Já existe verba aprovada para esse tema",J301="Entra no orçamento do próximo ciclo")),"Alta",IF(OR(K301&lt;=45,J301="Já existe verba aprovada para esse tema"),"Média","Baixa")))</f>
        <v/>
      </c>
      <c r="T301" s="17"/>
      <c r="U301" s="17"/>
      <c r="V301" s="17"/>
      <c r="W301" s="17"/>
      <c r="X301" s="17"/>
      <c r="Y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6" t="str">
        <f aca="false">IF(K302="","",IF(AND(K302&lt;=45,OR(J302="Já existe verba aprovada para esse tema",J302="Entra no orçamento do próximo ciclo")),"Alta",IF(OR(K302&lt;=45,J302="Já existe verba aprovada para esse tema"),"Média","Baixa")))</f>
        <v/>
      </c>
      <c r="T302" s="17"/>
      <c r="U302" s="17"/>
      <c r="V302" s="17"/>
      <c r="W302" s="17"/>
      <c r="X302" s="17"/>
      <c r="Y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6" t="str">
        <f aca="false">IF(K303="","",IF(AND(K303&lt;=45,OR(J303="Já existe verba aprovada para esse tema",J303="Entra no orçamento do próximo ciclo")),"Alta",IF(OR(K303&lt;=45,J303="Já existe verba aprovada para esse tema"),"Média","Baixa")))</f>
        <v/>
      </c>
      <c r="T303" s="17"/>
      <c r="U303" s="17"/>
      <c r="V303" s="17"/>
      <c r="W303" s="17"/>
      <c r="X303" s="17"/>
      <c r="Y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6" t="str">
        <f aca="false">IF(K304="","",IF(AND(K304&lt;=45,OR(J304="Já existe verba aprovada para esse tema",J304="Entra no orçamento do próximo ciclo")),"Alta",IF(OR(K304&lt;=45,J304="Já existe verba aprovada para esse tema"),"Média","Baixa")))</f>
        <v/>
      </c>
      <c r="T304" s="17"/>
      <c r="U304" s="17"/>
      <c r="V304" s="17"/>
      <c r="W304" s="17"/>
      <c r="X304" s="17"/>
      <c r="Y304" s="17"/>
    </row>
    <row r="305" customFormat="false" ht="15" hidden="false" customHeight="fals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6" t="str">
        <f aca="false">IF(K305="","",IF(AND(K305&lt;=45,OR(J305="Já existe verba aprovada para esse tema",J305="Entra no orçamento do próximo ciclo")),"Alta",IF(OR(K305&lt;=45,J305="Já existe verba aprovada para esse tema"),"Média","Baixa")))</f>
        <v/>
      </c>
      <c r="T305" s="17"/>
      <c r="U305" s="17"/>
      <c r="V305" s="17"/>
      <c r="W305" s="17"/>
      <c r="X305" s="17"/>
      <c r="Y305" s="17"/>
    </row>
    <row r="306" customFormat="false" ht="15" hidden="false" customHeight="fals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6" t="str">
        <f aca="false">IF(K306="","",IF(AND(K306&lt;=45,OR(J306="Já existe verba aprovada para esse tema",J306="Entra no orçamento do próximo ciclo")),"Alta",IF(OR(K306&lt;=45,J306="Já existe verba aprovada para esse tema"),"Média","Baixa")))</f>
        <v/>
      </c>
      <c r="T306" s="17"/>
      <c r="U306" s="17"/>
      <c r="V306" s="17"/>
      <c r="W306" s="17"/>
      <c r="X306" s="17"/>
      <c r="Y306" s="17"/>
    </row>
    <row r="307" customFormat="false" ht="15" hidden="false" customHeight="fals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6" t="str">
        <f aca="false">IF(K307="","",IF(AND(K307&lt;=45,OR(J307="Já existe verba aprovada para esse tema",J307="Entra no orçamento do próximo ciclo")),"Alta",IF(OR(K307&lt;=45,J307="Já existe verba aprovada para esse tema"),"Média","Baixa")))</f>
        <v/>
      </c>
      <c r="T307" s="17"/>
      <c r="U307" s="17"/>
      <c r="V307" s="17"/>
      <c r="W307" s="17"/>
      <c r="X307" s="17"/>
      <c r="Y307" s="17"/>
    </row>
    <row r="308" customFormat="false" ht="15" hidden="false" customHeight="fals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6" t="str">
        <f aca="false">IF(K308="","",IF(AND(K308&lt;=45,OR(J308="Já existe verba aprovada para esse tema",J308="Entra no orçamento do próximo ciclo")),"Alta",IF(OR(K308&lt;=45,J308="Já existe verba aprovada para esse tema"),"Média","Baixa")))</f>
        <v/>
      </c>
      <c r="T308" s="17"/>
      <c r="U308" s="17"/>
      <c r="V308" s="17"/>
      <c r="W308" s="17"/>
      <c r="X308" s="17"/>
      <c r="Y308" s="17"/>
    </row>
    <row r="309" customFormat="false" ht="15" hidden="false" customHeight="fals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6" t="str">
        <f aca="false">IF(K309="","",IF(AND(K309&lt;=45,OR(J309="Já existe verba aprovada para esse tema",J309="Entra no orçamento do próximo ciclo")),"Alta",IF(OR(K309&lt;=45,J309="Já existe verba aprovada para esse tema"),"Média","Baixa")))</f>
        <v/>
      </c>
      <c r="T309" s="17"/>
      <c r="U309" s="17"/>
      <c r="V309" s="17"/>
      <c r="W309" s="17"/>
      <c r="X309" s="17"/>
      <c r="Y309" s="17"/>
    </row>
    <row r="310" customFormat="false" ht="15" hidden="false" customHeight="fals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6" t="str">
        <f aca="false">IF(K310="","",IF(AND(K310&lt;=45,OR(J310="Já existe verba aprovada para esse tema",J310="Entra no orçamento do próximo ciclo")),"Alta",IF(OR(K310&lt;=45,J310="Já existe verba aprovada para esse tema"),"Média","Baixa")))</f>
        <v/>
      </c>
      <c r="T310" s="17"/>
      <c r="U310" s="17"/>
      <c r="V310" s="17"/>
      <c r="W310" s="17"/>
      <c r="X310" s="17"/>
      <c r="Y310" s="17"/>
    </row>
    <row r="311" customFormat="false" ht="15" hidden="false" customHeight="fals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6" t="str">
        <f aca="false">IF(K311="","",IF(AND(K311&lt;=45,OR(J311="Já existe verba aprovada para esse tema",J311="Entra no orçamento do próximo ciclo")),"Alta",IF(OR(K311&lt;=45,J311="Já existe verba aprovada para esse tema"),"Média","Baixa")))</f>
        <v/>
      </c>
      <c r="T311" s="17"/>
      <c r="U311" s="17"/>
      <c r="V311" s="17"/>
      <c r="W311" s="17"/>
      <c r="X311" s="17"/>
      <c r="Y311" s="17"/>
    </row>
    <row r="312" customFormat="false" ht="15" hidden="false" customHeight="fals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6" t="str">
        <f aca="false">IF(K312="","",IF(AND(K312&lt;=45,OR(J312="Já existe verba aprovada para esse tema",J312="Entra no orçamento do próximo ciclo")),"Alta",IF(OR(K312&lt;=45,J312="Já existe verba aprovada para esse tema"),"Média","Baixa")))</f>
        <v/>
      </c>
      <c r="T312" s="17"/>
      <c r="U312" s="17"/>
      <c r="V312" s="17"/>
      <c r="W312" s="17"/>
      <c r="X312" s="17"/>
      <c r="Y312" s="17"/>
    </row>
    <row r="313" customFormat="false" ht="15" hidden="false" customHeight="fals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6" t="str">
        <f aca="false">IF(K313="","",IF(AND(K313&lt;=45,OR(J313="Já existe verba aprovada para esse tema",J313="Entra no orçamento do próximo ciclo")),"Alta",IF(OR(K313&lt;=45,J313="Já existe verba aprovada para esse tema"),"Média","Baixa")))</f>
        <v/>
      </c>
      <c r="T313" s="17"/>
      <c r="U313" s="17"/>
      <c r="V313" s="17"/>
      <c r="W313" s="17"/>
      <c r="X313" s="17"/>
      <c r="Y313" s="17"/>
    </row>
    <row r="314" customFormat="false" ht="15" hidden="false" customHeight="fals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6" t="str">
        <f aca="false">IF(K314="","",IF(AND(K314&lt;=45,OR(J314="Já existe verba aprovada para esse tema",J314="Entra no orçamento do próximo ciclo")),"Alta",IF(OR(K314&lt;=45,J314="Já existe verba aprovada para esse tema"),"Média","Baixa")))</f>
        <v/>
      </c>
      <c r="T314" s="17"/>
      <c r="U314" s="17"/>
      <c r="V314" s="17"/>
      <c r="W314" s="17"/>
      <c r="X314" s="17"/>
      <c r="Y314" s="17"/>
    </row>
    <row r="315" customFormat="false" ht="15" hidden="false" customHeight="fals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6" t="str">
        <f aca="false">IF(K315="","",IF(AND(K315&lt;=45,OR(J315="Já existe verba aprovada para esse tema",J315="Entra no orçamento do próximo ciclo")),"Alta",IF(OR(K315&lt;=45,J315="Já existe verba aprovada para esse tema"),"Média","Baixa")))</f>
        <v/>
      </c>
      <c r="T315" s="17"/>
      <c r="U315" s="17"/>
      <c r="V315" s="17"/>
      <c r="W315" s="17"/>
      <c r="X315" s="17"/>
      <c r="Y315" s="17"/>
    </row>
    <row r="316" customFormat="false" ht="15" hidden="false" customHeight="fals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6" t="str">
        <f aca="false">IF(K316="","",IF(AND(K316&lt;=45,OR(J316="Já existe verba aprovada para esse tema",J316="Entra no orçamento do próximo ciclo")),"Alta",IF(OR(K316&lt;=45,J316="Já existe verba aprovada para esse tema"),"Média","Baixa")))</f>
        <v/>
      </c>
      <c r="T316" s="17"/>
      <c r="U316" s="17"/>
      <c r="V316" s="17"/>
      <c r="W316" s="17"/>
      <c r="X316" s="17"/>
      <c r="Y316" s="17"/>
    </row>
    <row r="317" customFormat="false" ht="15" hidden="false" customHeight="fals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6" t="str">
        <f aca="false">IF(K317="","",IF(AND(K317&lt;=45,OR(J317="Já existe verba aprovada para esse tema",J317="Entra no orçamento do próximo ciclo")),"Alta",IF(OR(K317&lt;=45,J317="Já existe verba aprovada para esse tema"),"Média","Baixa")))</f>
        <v/>
      </c>
      <c r="T317" s="17"/>
      <c r="U317" s="17"/>
      <c r="V317" s="17"/>
      <c r="W317" s="17"/>
      <c r="X317" s="17"/>
      <c r="Y317" s="17"/>
    </row>
    <row r="318" customFormat="false" ht="15" hidden="false" customHeight="fals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6" t="str">
        <f aca="false">IF(K318="","",IF(AND(K318&lt;=45,OR(J318="Já existe verba aprovada para esse tema",J318="Entra no orçamento do próximo ciclo")),"Alta",IF(OR(K318&lt;=45,J318="Já existe verba aprovada para esse tema"),"Média","Baixa")))</f>
        <v/>
      </c>
      <c r="T318" s="17"/>
      <c r="U318" s="17"/>
      <c r="V318" s="17"/>
      <c r="W318" s="17"/>
      <c r="X318" s="17"/>
      <c r="Y318" s="17"/>
    </row>
    <row r="319" customFormat="false" ht="15" hidden="false" customHeight="fals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6" t="str">
        <f aca="false">IF(K319="","",IF(AND(K319&lt;=45,OR(J319="Já existe verba aprovada para esse tema",J319="Entra no orçamento do próximo ciclo")),"Alta",IF(OR(K319&lt;=45,J319="Já existe verba aprovada para esse tema"),"Média","Baixa")))</f>
        <v/>
      </c>
      <c r="T319" s="17"/>
      <c r="U319" s="17"/>
      <c r="V319" s="17"/>
      <c r="W319" s="17"/>
      <c r="X319" s="17"/>
      <c r="Y319" s="17"/>
    </row>
    <row r="320" customFormat="false" ht="15" hidden="false" customHeight="fals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6" t="str">
        <f aca="false">IF(K320="","",IF(AND(K320&lt;=45,OR(J320="Já existe verba aprovada para esse tema",J320="Entra no orçamento do próximo ciclo")),"Alta",IF(OR(K320&lt;=45,J320="Já existe verba aprovada para esse tema"),"Média","Baixa")))</f>
        <v/>
      </c>
      <c r="T320" s="17"/>
      <c r="U320" s="17"/>
      <c r="V320" s="17"/>
      <c r="W320" s="17"/>
      <c r="X320" s="17"/>
      <c r="Y320" s="17"/>
    </row>
    <row r="321" customFormat="false" ht="15" hidden="false" customHeight="fals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6" t="str">
        <f aca="false">IF(K321="","",IF(AND(K321&lt;=45,OR(J321="Já existe verba aprovada para esse tema",J321="Entra no orçamento do próximo ciclo")),"Alta",IF(OR(K321&lt;=45,J321="Já existe verba aprovada para esse tema"),"Média","Baixa")))</f>
        <v/>
      </c>
      <c r="T321" s="17"/>
      <c r="U321" s="17"/>
      <c r="V321" s="17"/>
      <c r="W321" s="17"/>
      <c r="X321" s="17"/>
      <c r="Y321" s="17"/>
    </row>
    <row r="322" customFormat="false" ht="15" hidden="false" customHeight="fals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6" t="str">
        <f aca="false">IF(K322="","",IF(AND(K322&lt;=45,OR(J322="Já existe verba aprovada para esse tema",J322="Entra no orçamento do próximo ciclo")),"Alta",IF(OR(K322&lt;=45,J322="Já existe verba aprovada para esse tema"),"Média","Baixa")))</f>
        <v/>
      </c>
      <c r="T322" s="17"/>
      <c r="U322" s="17"/>
      <c r="V322" s="17"/>
      <c r="W322" s="17"/>
      <c r="X322" s="17"/>
      <c r="Y322" s="17"/>
    </row>
    <row r="323" customFormat="false" ht="15" hidden="false" customHeight="fals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6" t="str">
        <f aca="false">IF(K323="","",IF(AND(K323&lt;=45,OR(J323="Já existe verba aprovada para esse tema",J323="Entra no orçamento do próximo ciclo")),"Alta",IF(OR(K323&lt;=45,J323="Já existe verba aprovada para esse tema"),"Média","Baixa")))</f>
        <v/>
      </c>
      <c r="T323" s="17"/>
      <c r="U323" s="17"/>
      <c r="V323" s="17"/>
      <c r="W323" s="17"/>
      <c r="X323" s="17"/>
      <c r="Y323" s="17"/>
    </row>
    <row r="324" customFormat="false" ht="15" hidden="false" customHeight="fals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6" t="str">
        <f aca="false">IF(K324="","",IF(AND(K324&lt;=45,OR(J324="Já existe verba aprovada para esse tema",J324="Entra no orçamento do próximo ciclo")),"Alta",IF(OR(K324&lt;=45,J324="Já existe verba aprovada para esse tema"),"Média","Baixa")))</f>
        <v/>
      </c>
      <c r="T324" s="17"/>
      <c r="U324" s="17"/>
      <c r="V324" s="17"/>
      <c r="W324" s="17"/>
      <c r="X324" s="17"/>
      <c r="Y324" s="17"/>
    </row>
    <row r="325" customFormat="false" ht="15" hidden="false" customHeight="fals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6" t="str">
        <f aca="false">IF(K325="","",IF(AND(K325&lt;=45,OR(J325="Já existe verba aprovada para esse tema",J325="Entra no orçamento do próximo ciclo")),"Alta",IF(OR(K325&lt;=45,J325="Já existe verba aprovada para esse tema"),"Média","Baixa")))</f>
        <v/>
      </c>
      <c r="T325" s="17"/>
      <c r="U325" s="17"/>
      <c r="V325" s="17"/>
      <c r="W325" s="17"/>
      <c r="X325" s="17"/>
      <c r="Y325" s="17"/>
    </row>
    <row r="326" customFormat="false" ht="15" hidden="false" customHeight="fals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6" t="str">
        <f aca="false">IF(K326="","",IF(AND(K326&lt;=45,OR(J326="Já existe verba aprovada para esse tema",J326="Entra no orçamento do próximo ciclo")),"Alta",IF(OR(K326&lt;=45,J326="Já existe verba aprovada para esse tema"),"Média","Baixa")))</f>
        <v/>
      </c>
      <c r="T326" s="17"/>
      <c r="U326" s="17"/>
      <c r="V326" s="17"/>
      <c r="W326" s="17"/>
      <c r="X326" s="17"/>
      <c r="Y326" s="17"/>
    </row>
    <row r="327" customFormat="false" ht="15" hidden="false" customHeight="fals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6" t="str">
        <f aca="false">IF(K327="","",IF(AND(K327&lt;=45,OR(J327="Já existe verba aprovada para esse tema",J327="Entra no orçamento do próximo ciclo")),"Alta",IF(OR(K327&lt;=45,J327="Já existe verba aprovada para esse tema"),"Média","Baixa")))</f>
        <v/>
      </c>
      <c r="T327" s="17"/>
      <c r="U327" s="17"/>
      <c r="V327" s="17"/>
      <c r="W327" s="17"/>
      <c r="X327" s="17"/>
      <c r="Y327" s="17"/>
    </row>
    <row r="328" customFormat="false" ht="15" hidden="false" customHeight="fals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6" t="str">
        <f aca="false">IF(K328="","",IF(AND(K328&lt;=45,OR(J328="Já existe verba aprovada para esse tema",J328="Entra no orçamento do próximo ciclo")),"Alta",IF(OR(K328&lt;=45,J328="Já existe verba aprovada para esse tema"),"Média","Baixa")))</f>
        <v/>
      </c>
      <c r="T328" s="17"/>
      <c r="U328" s="17"/>
      <c r="V328" s="17"/>
      <c r="W328" s="17"/>
      <c r="X328" s="17"/>
      <c r="Y328" s="17"/>
    </row>
    <row r="329" customFormat="false" ht="15" hidden="false" customHeight="fals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6" t="str">
        <f aca="false">IF(K329="","",IF(AND(K329&lt;=45,OR(J329="Já existe verba aprovada para esse tema",J329="Entra no orçamento do próximo ciclo")),"Alta",IF(OR(K329&lt;=45,J329="Já existe verba aprovada para esse tema"),"Média","Baixa")))</f>
        <v/>
      </c>
      <c r="T329" s="17"/>
      <c r="U329" s="17"/>
      <c r="V329" s="17"/>
      <c r="W329" s="17"/>
      <c r="X329" s="17"/>
      <c r="Y329" s="17"/>
    </row>
    <row r="330" customFormat="false" ht="15" hidden="false" customHeight="fals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6" t="str">
        <f aca="false">IF(K330="","",IF(AND(K330&lt;=45,OR(J330="Já existe verba aprovada para esse tema",J330="Entra no orçamento do próximo ciclo")),"Alta",IF(OR(K330&lt;=45,J330="Já existe verba aprovada para esse tema"),"Média","Baixa")))</f>
        <v/>
      </c>
      <c r="T330" s="17"/>
      <c r="U330" s="17"/>
      <c r="V330" s="17"/>
      <c r="W330" s="17"/>
      <c r="X330" s="17"/>
      <c r="Y330" s="17"/>
    </row>
    <row r="331" customFormat="false" ht="15" hidden="false" customHeight="fals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6" t="str">
        <f aca="false">IF(K331="","",IF(AND(K331&lt;=45,OR(J331="Já existe verba aprovada para esse tema",J331="Entra no orçamento do próximo ciclo")),"Alta",IF(OR(K331&lt;=45,J331="Já existe verba aprovada para esse tema"),"Média","Baixa")))</f>
        <v/>
      </c>
      <c r="T331" s="17"/>
      <c r="U331" s="17"/>
      <c r="V331" s="17"/>
      <c r="W331" s="17"/>
      <c r="X331" s="17"/>
      <c r="Y331" s="17"/>
    </row>
    <row r="332" customFormat="false" ht="15" hidden="false" customHeight="fals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6" t="str">
        <f aca="false">IF(K332="","",IF(AND(K332&lt;=45,OR(J332="Já existe verba aprovada para esse tema",J332="Entra no orçamento do próximo ciclo")),"Alta",IF(OR(K332&lt;=45,J332="Já existe verba aprovada para esse tema"),"Média","Baixa")))</f>
        <v/>
      </c>
      <c r="T332" s="17"/>
      <c r="U332" s="17"/>
      <c r="V332" s="17"/>
      <c r="W332" s="17"/>
      <c r="X332" s="17"/>
      <c r="Y332" s="17"/>
    </row>
    <row r="333" customFormat="false" ht="15" hidden="false" customHeight="fals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6" t="str">
        <f aca="false">IF(K333="","",IF(AND(K333&lt;=45,OR(J333="Já existe verba aprovada para esse tema",J333="Entra no orçamento do próximo ciclo")),"Alta",IF(OR(K333&lt;=45,J333="Já existe verba aprovada para esse tema"),"Média","Baixa")))</f>
        <v/>
      </c>
      <c r="T333" s="17"/>
      <c r="U333" s="17"/>
      <c r="V333" s="17"/>
      <c r="W333" s="17"/>
      <c r="X333" s="17"/>
      <c r="Y333" s="17"/>
    </row>
    <row r="334" customFormat="false" ht="15" hidden="false" customHeight="fals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6" t="str">
        <f aca="false">IF(K334="","",IF(AND(K334&lt;=45,OR(J334="Já existe verba aprovada para esse tema",J334="Entra no orçamento do próximo ciclo")),"Alta",IF(OR(K334&lt;=45,J334="Já existe verba aprovada para esse tema"),"Média","Baixa")))</f>
        <v/>
      </c>
      <c r="T334" s="17"/>
      <c r="U334" s="17"/>
      <c r="V334" s="17"/>
      <c r="W334" s="17"/>
      <c r="X334" s="17"/>
      <c r="Y334" s="17"/>
    </row>
    <row r="335" customFormat="false" ht="15" hidden="false" customHeight="fals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6" t="str">
        <f aca="false">IF(K335="","",IF(AND(K335&lt;=45,OR(J335="Já existe verba aprovada para esse tema",J335="Entra no orçamento do próximo ciclo")),"Alta",IF(OR(K335&lt;=45,J335="Já existe verba aprovada para esse tema"),"Média","Baixa")))</f>
        <v/>
      </c>
      <c r="T335" s="17"/>
      <c r="U335" s="17"/>
      <c r="V335" s="17"/>
      <c r="W335" s="17"/>
      <c r="X335" s="17"/>
      <c r="Y335" s="17"/>
    </row>
    <row r="336" customFormat="false" ht="15" hidden="false" customHeight="fals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6" t="str">
        <f aca="false">IF(K336="","",IF(AND(K336&lt;=45,OR(J336="Já existe verba aprovada para esse tema",J336="Entra no orçamento do próximo ciclo")),"Alta",IF(OR(K336&lt;=45,J336="Já existe verba aprovada para esse tema"),"Média","Baixa")))</f>
        <v/>
      </c>
      <c r="T336" s="17"/>
      <c r="U336" s="17"/>
      <c r="V336" s="17"/>
      <c r="W336" s="17"/>
      <c r="X336" s="17"/>
      <c r="Y336" s="17"/>
    </row>
    <row r="337" customFormat="false" ht="15" hidden="false" customHeight="fals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6" t="str">
        <f aca="false">IF(K337="","",IF(AND(K337&lt;=45,OR(J337="Já existe verba aprovada para esse tema",J337="Entra no orçamento do próximo ciclo")),"Alta",IF(OR(K337&lt;=45,J337="Já existe verba aprovada para esse tema"),"Média","Baixa")))</f>
        <v/>
      </c>
      <c r="T337" s="17"/>
      <c r="U337" s="17"/>
      <c r="V337" s="17"/>
      <c r="W337" s="17"/>
      <c r="X337" s="17"/>
      <c r="Y337" s="17"/>
    </row>
    <row r="338" customFormat="false" ht="15" hidden="false" customHeight="fals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6" t="str">
        <f aca="false">IF(K338="","",IF(AND(K338&lt;=45,OR(J338="Já existe verba aprovada para esse tema",J338="Entra no orçamento do próximo ciclo")),"Alta",IF(OR(K338&lt;=45,J338="Já existe verba aprovada para esse tema"),"Média","Baixa")))</f>
        <v/>
      </c>
      <c r="T338" s="17"/>
      <c r="U338" s="17"/>
      <c r="V338" s="17"/>
      <c r="W338" s="17"/>
      <c r="X338" s="17"/>
      <c r="Y338" s="17"/>
    </row>
    <row r="339" customFormat="false" ht="15" hidden="false" customHeight="fals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6" t="str">
        <f aca="false">IF(K339="","",IF(AND(K339&lt;=45,OR(J339="Já existe verba aprovada para esse tema",J339="Entra no orçamento do próximo ciclo")),"Alta",IF(OR(K339&lt;=45,J339="Já existe verba aprovada para esse tema"),"Média","Baixa")))</f>
        <v/>
      </c>
      <c r="T339" s="17"/>
      <c r="U339" s="17"/>
      <c r="V339" s="17"/>
      <c r="W339" s="17"/>
      <c r="X339" s="17"/>
      <c r="Y339" s="17"/>
    </row>
    <row r="340" customFormat="false" ht="15" hidden="false" customHeight="fals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6" t="str">
        <f aca="false">IF(K340="","",IF(AND(K340&lt;=45,OR(J340="Já existe verba aprovada para esse tema",J340="Entra no orçamento do próximo ciclo")),"Alta",IF(OR(K340&lt;=45,J340="Já existe verba aprovada para esse tema"),"Média","Baixa")))</f>
        <v/>
      </c>
      <c r="T340" s="17"/>
      <c r="U340" s="17"/>
      <c r="V340" s="17"/>
      <c r="W340" s="17"/>
      <c r="X340" s="17"/>
      <c r="Y340" s="17"/>
    </row>
    <row r="341" customFormat="false" ht="15" hidden="false" customHeight="fals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6" t="str">
        <f aca="false">IF(K341="","",IF(AND(K341&lt;=45,OR(J341="Já existe verba aprovada para esse tema",J341="Entra no orçamento do próximo ciclo")),"Alta",IF(OR(K341&lt;=45,J341="Já existe verba aprovada para esse tema"),"Média","Baixa")))</f>
        <v/>
      </c>
      <c r="T341" s="17"/>
      <c r="U341" s="17"/>
      <c r="V341" s="17"/>
      <c r="W341" s="17"/>
      <c r="X341" s="17"/>
      <c r="Y341" s="17"/>
    </row>
    <row r="342" customFormat="false" ht="15" hidden="false" customHeight="fals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6" t="str">
        <f aca="false">IF(K342="","",IF(AND(K342&lt;=45,OR(J342="Já existe verba aprovada para esse tema",J342="Entra no orçamento do próximo ciclo")),"Alta",IF(OR(K342&lt;=45,J342="Já existe verba aprovada para esse tema"),"Média","Baixa")))</f>
        <v/>
      </c>
      <c r="T342" s="17"/>
      <c r="U342" s="17"/>
      <c r="V342" s="17"/>
      <c r="W342" s="17"/>
      <c r="X342" s="17"/>
      <c r="Y342" s="17"/>
    </row>
    <row r="343" customFormat="false" ht="15" hidden="false" customHeight="fals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6" t="str">
        <f aca="false">IF(K343="","",IF(AND(K343&lt;=45,OR(J343="Já existe verba aprovada para esse tema",J343="Entra no orçamento do próximo ciclo")),"Alta",IF(OR(K343&lt;=45,J343="Já existe verba aprovada para esse tema"),"Média","Baixa")))</f>
        <v/>
      </c>
      <c r="T343" s="17"/>
      <c r="U343" s="17"/>
      <c r="V343" s="17"/>
      <c r="W343" s="17"/>
      <c r="X343" s="17"/>
      <c r="Y343" s="17"/>
    </row>
    <row r="344" customFormat="false" ht="15" hidden="false" customHeight="fals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6" t="str">
        <f aca="false">IF(K344="","",IF(AND(K344&lt;=45,OR(J344="Já existe verba aprovada para esse tema",J344="Entra no orçamento do próximo ciclo")),"Alta",IF(OR(K344&lt;=45,J344="Já existe verba aprovada para esse tema"),"Média","Baixa")))</f>
        <v/>
      </c>
      <c r="T344" s="17"/>
      <c r="U344" s="17"/>
      <c r="V344" s="17"/>
      <c r="W344" s="17"/>
      <c r="X344" s="17"/>
      <c r="Y344" s="17"/>
    </row>
    <row r="345" customFormat="false" ht="15" hidden="false" customHeight="fals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6" t="str">
        <f aca="false">IF(K345="","",IF(AND(K345&lt;=45,OR(J345="Já existe verba aprovada para esse tema",J345="Entra no orçamento do próximo ciclo")),"Alta",IF(OR(K345&lt;=45,J345="Já existe verba aprovada para esse tema"),"Média","Baixa")))</f>
        <v/>
      </c>
      <c r="T345" s="17"/>
      <c r="U345" s="17"/>
      <c r="V345" s="17"/>
      <c r="W345" s="17"/>
      <c r="X345" s="17"/>
      <c r="Y345" s="17"/>
    </row>
    <row r="346" customFormat="false" ht="15" hidden="false" customHeight="fals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6" t="str">
        <f aca="false">IF(K346="","",IF(AND(K346&lt;=45,OR(J346="Já existe verba aprovada para esse tema",J346="Entra no orçamento do próximo ciclo")),"Alta",IF(OR(K346&lt;=45,J346="Já existe verba aprovada para esse tema"),"Média","Baixa")))</f>
        <v/>
      </c>
      <c r="T346" s="17"/>
      <c r="U346" s="17"/>
      <c r="V346" s="17"/>
      <c r="W346" s="17"/>
      <c r="X346" s="17"/>
      <c r="Y346" s="17"/>
    </row>
    <row r="347" customFormat="false" ht="15" hidden="false" customHeight="fals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6" t="str">
        <f aca="false">IF(K347="","",IF(AND(K347&lt;=45,OR(J347="Já existe verba aprovada para esse tema",J347="Entra no orçamento do próximo ciclo")),"Alta",IF(OR(K347&lt;=45,J347="Já existe verba aprovada para esse tema"),"Média","Baixa")))</f>
        <v/>
      </c>
      <c r="T347" s="17"/>
      <c r="U347" s="17"/>
      <c r="V347" s="17"/>
      <c r="W347" s="17"/>
      <c r="X347" s="17"/>
      <c r="Y347" s="17"/>
    </row>
    <row r="348" customFormat="false" ht="15" hidden="false" customHeight="fals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6" t="str">
        <f aca="false">IF(K348="","",IF(AND(K348&lt;=45,OR(J348="Já existe verba aprovada para esse tema",J348="Entra no orçamento do próximo ciclo")),"Alta",IF(OR(K348&lt;=45,J348="Já existe verba aprovada para esse tema"),"Média","Baixa")))</f>
        <v/>
      </c>
      <c r="T348" s="17"/>
      <c r="U348" s="17"/>
      <c r="V348" s="17"/>
      <c r="W348" s="17"/>
      <c r="X348" s="17"/>
      <c r="Y348" s="17"/>
    </row>
    <row r="349" customFormat="false" ht="15" hidden="false" customHeight="fals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6" t="str">
        <f aca="false">IF(K349="","",IF(AND(K349&lt;=45,OR(J349="Já existe verba aprovada para esse tema",J349="Entra no orçamento do próximo ciclo")),"Alta",IF(OR(K349&lt;=45,J349="Já existe verba aprovada para esse tema"),"Média","Baixa")))</f>
        <v/>
      </c>
      <c r="T349" s="17"/>
      <c r="U349" s="17"/>
      <c r="V349" s="17"/>
      <c r="W349" s="17"/>
      <c r="X349" s="17"/>
      <c r="Y349" s="17"/>
    </row>
    <row r="350" customFormat="false" ht="15" hidden="false" customHeight="fals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6" t="str">
        <f aca="false">IF(K350="","",IF(AND(K350&lt;=45,OR(J350="Já existe verba aprovada para esse tema",J350="Entra no orçamento do próximo ciclo")),"Alta",IF(OR(K350&lt;=45,J350="Já existe verba aprovada para esse tema"),"Média","Baixa")))</f>
        <v/>
      </c>
      <c r="T350" s="17"/>
      <c r="U350" s="17"/>
      <c r="V350" s="17"/>
      <c r="W350" s="17"/>
      <c r="X350" s="17"/>
      <c r="Y350" s="17"/>
    </row>
    <row r="351" customFormat="false" ht="15" hidden="false" customHeight="fals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6" t="str">
        <f aca="false">IF(K351="","",IF(AND(K351&lt;=45,OR(J351="Já existe verba aprovada para esse tema",J351="Entra no orçamento do próximo ciclo")),"Alta",IF(OR(K351&lt;=45,J351="Já existe verba aprovada para esse tema"),"Média","Baixa")))</f>
        <v/>
      </c>
      <c r="T351" s="17"/>
      <c r="U351" s="17"/>
      <c r="V351" s="17"/>
      <c r="W351" s="17"/>
      <c r="X351" s="17"/>
      <c r="Y351" s="17"/>
    </row>
    <row r="352" customFormat="false" ht="15" hidden="false" customHeight="fals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6" t="str">
        <f aca="false">IF(K352="","",IF(AND(K352&lt;=45,OR(J352="Já existe verba aprovada para esse tema",J352="Entra no orçamento do próximo ciclo")),"Alta",IF(OR(K352&lt;=45,J352="Já existe verba aprovada para esse tema"),"Média","Baixa")))</f>
        <v/>
      </c>
      <c r="T352" s="17"/>
      <c r="U352" s="17"/>
      <c r="V352" s="17"/>
      <c r="W352" s="17"/>
      <c r="X352" s="17"/>
      <c r="Y352" s="17"/>
    </row>
    <row r="353" customFormat="false" ht="15" hidden="false" customHeight="fals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6" t="str">
        <f aca="false">IF(K353="","",IF(AND(K353&lt;=45,OR(J353="Já existe verba aprovada para esse tema",J353="Entra no orçamento do próximo ciclo")),"Alta",IF(OR(K353&lt;=45,J353="Já existe verba aprovada para esse tema"),"Média","Baixa")))</f>
        <v/>
      </c>
      <c r="T353" s="17"/>
      <c r="U353" s="17"/>
      <c r="V353" s="17"/>
      <c r="W353" s="17"/>
      <c r="X353" s="17"/>
      <c r="Y353" s="17"/>
    </row>
    <row r="354" customFormat="false" ht="15" hidden="false" customHeight="fals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6" t="str">
        <f aca="false">IF(K354="","",IF(AND(K354&lt;=45,OR(J354="Já existe verba aprovada para esse tema",J354="Entra no orçamento do próximo ciclo")),"Alta",IF(OR(K354&lt;=45,J354="Já existe verba aprovada para esse tema"),"Média","Baixa")))</f>
        <v/>
      </c>
      <c r="T354" s="17"/>
      <c r="U354" s="17"/>
      <c r="V354" s="17"/>
      <c r="W354" s="17"/>
      <c r="X354" s="17"/>
      <c r="Y354" s="17"/>
    </row>
    <row r="355" customFormat="false" ht="15" hidden="false" customHeight="fals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6" t="str">
        <f aca="false">IF(K355="","",IF(AND(K355&lt;=45,OR(J355="Já existe verba aprovada para esse tema",J355="Entra no orçamento do próximo ciclo")),"Alta",IF(OR(K355&lt;=45,J355="Já existe verba aprovada para esse tema"),"Média","Baixa")))</f>
        <v/>
      </c>
      <c r="T355" s="17"/>
      <c r="U355" s="17"/>
      <c r="V355" s="17"/>
      <c r="W355" s="17"/>
      <c r="X355" s="17"/>
      <c r="Y355" s="17"/>
    </row>
    <row r="356" customFormat="false" ht="15" hidden="false" customHeight="fals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6" t="str">
        <f aca="false">IF(K356="","",IF(AND(K356&lt;=45,OR(J356="Já existe verba aprovada para esse tema",J356="Entra no orçamento do próximo ciclo")),"Alta",IF(OR(K356&lt;=45,J356="Já existe verba aprovada para esse tema"),"Média","Baixa")))</f>
        <v/>
      </c>
      <c r="T356" s="17"/>
      <c r="U356" s="17"/>
      <c r="V356" s="17"/>
      <c r="W356" s="17"/>
      <c r="X356" s="17"/>
      <c r="Y356" s="17"/>
    </row>
    <row r="357" customFormat="false" ht="15" hidden="false" customHeight="fals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6" t="str">
        <f aca="false">IF(K357="","",IF(AND(K357&lt;=45,OR(J357="Já existe verba aprovada para esse tema",J357="Entra no orçamento do próximo ciclo")),"Alta",IF(OR(K357&lt;=45,J357="Já existe verba aprovada para esse tema"),"Média","Baixa")))</f>
        <v/>
      </c>
      <c r="T357" s="17"/>
      <c r="U357" s="17"/>
      <c r="V357" s="17"/>
      <c r="W357" s="17"/>
      <c r="X357" s="17"/>
      <c r="Y357" s="17"/>
    </row>
    <row r="358" customFormat="false" ht="15" hidden="false" customHeight="fals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6" t="str">
        <f aca="false">IF(K358="","",IF(AND(K358&lt;=45,OR(J358="Já existe verba aprovada para esse tema",J358="Entra no orçamento do próximo ciclo")),"Alta",IF(OR(K358&lt;=45,J358="Já existe verba aprovada para esse tema"),"Média","Baixa")))</f>
        <v/>
      </c>
      <c r="T358" s="17"/>
      <c r="U358" s="17"/>
      <c r="V358" s="17"/>
      <c r="W358" s="17"/>
      <c r="X358" s="17"/>
      <c r="Y358" s="17"/>
    </row>
    <row r="359" customFormat="false" ht="15" hidden="false" customHeight="fals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6" t="str">
        <f aca="false">IF(K359="","",IF(AND(K359&lt;=45,OR(J359="Já existe verba aprovada para esse tema",J359="Entra no orçamento do próximo ciclo")),"Alta",IF(OR(K359&lt;=45,J359="Já existe verba aprovada para esse tema"),"Média","Baixa")))</f>
        <v/>
      </c>
      <c r="T359" s="17"/>
      <c r="U359" s="17"/>
      <c r="V359" s="17"/>
      <c r="W359" s="17"/>
      <c r="X359" s="17"/>
      <c r="Y359" s="17"/>
    </row>
    <row r="360" customFormat="false" ht="15" hidden="false" customHeight="fals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6" t="str">
        <f aca="false">IF(K360="","",IF(AND(K360&lt;=45,OR(J360="Já existe verba aprovada para esse tema",J360="Entra no orçamento do próximo ciclo")),"Alta",IF(OR(K360&lt;=45,J360="Já existe verba aprovada para esse tema"),"Média","Baixa")))</f>
        <v/>
      </c>
      <c r="T360" s="17"/>
      <c r="U360" s="17"/>
      <c r="V360" s="17"/>
      <c r="W360" s="17"/>
      <c r="X360" s="17"/>
      <c r="Y360" s="17"/>
    </row>
    <row r="361" customFormat="false" ht="15" hidden="false" customHeight="fals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6" t="str">
        <f aca="false">IF(K361="","",IF(AND(K361&lt;=45,OR(J361="Já existe verba aprovada para esse tema",J361="Entra no orçamento do próximo ciclo")),"Alta",IF(OR(K361&lt;=45,J361="Já existe verba aprovada para esse tema"),"Média","Baixa")))</f>
        <v/>
      </c>
      <c r="T361" s="17"/>
      <c r="U361" s="17"/>
      <c r="V361" s="17"/>
      <c r="W361" s="17"/>
      <c r="X361" s="17"/>
      <c r="Y361" s="17"/>
    </row>
    <row r="362" customFormat="false" ht="15" hidden="false" customHeight="fals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6" t="str">
        <f aca="false">IF(K362="","",IF(AND(K362&lt;=45,OR(J362="Já existe verba aprovada para esse tema",J362="Entra no orçamento do próximo ciclo")),"Alta",IF(OR(K362&lt;=45,J362="Já existe verba aprovada para esse tema"),"Média","Baixa")))</f>
        <v/>
      </c>
      <c r="T362" s="17"/>
      <c r="U362" s="17"/>
      <c r="V362" s="17"/>
      <c r="W362" s="17"/>
      <c r="X362" s="17"/>
      <c r="Y362" s="17"/>
    </row>
    <row r="363" customFormat="false" ht="15" hidden="false" customHeight="fals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6" t="str">
        <f aca="false">IF(K363="","",IF(AND(K363&lt;=45,OR(J363="Já existe verba aprovada para esse tema",J363="Entra no orçamento do próximo ciclo")),"Alta",IF(OR(K363&lt;=45,J363="Já existe verba aprovada para esse tema"),"Média","Baixa")))</f>
        <v/>
      </c>
      <c r="T363" s="17"/>
      <c r="U363" s="17"/>
      <c r="V363" s="17"/>
      <c r="W363" s="17"/>
      <c r="X363" s="17"/>
      <c r="Y363" s="17"/>
    </row>
    <row r="364" customFormat="false" ht="15" hidden="false" customHeight="fals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6" t="str">
        <f aca="false">IF(K364="","",IF(AND(K364&lt;=45,OR(J364="Já existe verba aprovada para esse tema",J364="Entra no orçamento do próximo ciclo")),"Alta",IF(OR(K364&lt;=45,J364="Já existe verba aprovada para esse tema"),"Média","Baixa")))</f>
        <v/>
      </c>
      <c r="T364" s="17"/>
      <c r="U364" s="17"/>
      <c r="V364" s="17"/>
      <c r="W364" s="17"/>
      <c r="X364" s="17"/>
      <c r="Y364" s="17"/>
    </row>
    <row r="365" customFormat="false" ht="15" hidden="false" customHeight="fals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6" t="str">
        <f aca="false">IF(K365="","",IF(AND(K365&lt;=45,OR(J365="Já existe verba aprovada para esse tema",J365="Entra no orçamento do próximo ciclo")),"Alta",IF(OR(K365&lt;=45,J365="Já existe verba aprovada para esse tema"),"Média","Baixa")))</f>
        <v/>
      </c>
      <c r="T365" s="17"/>
      <c r="U365" s="17"/>
      <c r="V365" s="17"/>
      <c r="W365" s="17"/>
      <c r="X365" s="17"/>
      <c r="Y365" s="17"/>
    </row>
    <row r="366" customFormat="false" ht="15" hidden="false" customHeight="fals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6" t="str">
        <f aca="false">IF(K366="","",IF(AND(K366&lt;=45,OR(J366="Já existe verba aprovada para esse tema",J366="Entra no orçamento do próximo ciclo")),"Alta",IF(OR(K366&lt;=45,J366="Já existe verba aprovada para esse tema"),"Média","Baixa")))</f>
        <v/>
      </c>
      <c r="T366" s="17"/>
      <c r="U366" s="17"/>
      <c r="V366" s="17"/>
      <c r="W366" s="17"/>
      <c r="X366" s="17"/>
      <c r="Y366" s="17"/>
    </row>
    <row r="367" customFormat="false" ht="15" hidden="false" customHeight="fals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6" t="str">
        <f aca="false">IF(K367="","",IF(AND(K367&lt;=45,OR(J367="Já existe verba aprovada para esse tema",J367="Entra no orçamento do próximo ciclo")),"Alta",IF(OR(K367&lt;=45,J367="Já existe verba aprovada para esse tema"),"Média","Baixa")))</f>
        <v/>
      </c>
      <c r="T367" s="17"/>
      <c r="U367" s="17"/>
      <c r="V367" s="17"/>
      <c r="W367" s="17"/>
      <c r="X367" s="17"/>
      <c r="Y367" s="17"/>
    </row>
    <row r="368" customFormat="false" ht="15" hidden="false" customHeight="fals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6" t="str">
        <f aca="false">IF(K368="","",IF(AND(K368&lt;=45,OR(J368="Já existe verba aprovada para esse tema",J368="Entra no orçamento do próximo ciclo")),"Alta",IF(OR(K368&lt;=45,J368="Já existe verba aprovada para esse tema"),"Média","Baixa")))</f>
        <v/>
      </c>
      <c r="T368" s="17"/>
      <c r="U368" s="17"/>
      <c r="V368" s="17"/>
      <c r="W368" s="17"/>
      <c r="X368" s="17"/>
      <c r="Y368" s="17"/>
    </row>
    <row r="369" customFormat="false" ht="15" hidden="false" customHeight="fals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6" t="str">
        <f aca="false">IF(K369="","",IF(AND(K369&lt;=45,OR(J369="Já existe verba aprovada para esse tema",J369="Entra no orçamento do próximo ciclo")),"Alta",IF(OR(K369&lt;=45,J369="Já existe verba aprovada para esse tema"),"Média","Baixa")))</f>
        <v/>
      </c>
      <c r="T369" s="17"/>
      <c r="U369" s="17"/>
      <c r="V369" s="17"/>
      <c r="W369" s="17"/>
      <c r="X369" s="17"/>
      <c r="Y369" s="17"/>
    </row>
    <row r="370" customFormat="false" ht="15" hidden="false" customHeight="fals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6" t="str">
        <f aca="false">IF(K370="","",IF(AND(K370&lt;=45,OR(J370="Já existe verba aprovada para esse tema",J370="Entra no orçamento do próximo ciclo")),"Alta",IF(OR(K370&lt;=45,J370="Já existe verba aprovada para esse tema"),"Média","Baixa")))</f>
        <v/>
      </c>
      <c r="T370" s="17"/>
      <c r="U370" s="17"/>
      <c r="V370" s="17"/>
      <c r="W370" s="17"/>
      <c r="X370" s="17"/>
      <c r="Y370" s="17"/>
    </row>
    <row r="371" customFormat="false" ht="15" hidden="false" customHeight="fals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6" t="str">
        <f aca="false">IF(K371="","",IF(AND(K371&lt;=45,OR(J371="Já existe verba aprovada para esse tema",J371="Entra no orçamento do próximo ciclo")),"Alta",IF(OR(K371&lt;=45,J371="Já existe verba aprovada para esse tema"),"Média","Baixa")))</f>
        <v/>
      </c>
      <c r="T371" s="17"/>
      <c r="U371" s="17"/>
      <c r="V371" s="17"/>
      <c r="W371" s="17"/>
      <c r="X371" s="17"/>
      <c r="Y371" s="17"/>
    </row>
    <row r="372" customFormat="false" ht="15" hidden="false" customHeight="fals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6" t="str">
        <f aca="false">IF(K372="","",IF(AND(K372&lt;=45,OR(J372="Já existe verba aprovada para esse tema",J372="Entra no orçamento do próximo ciclo")),"Alta",IF(OR(K372&lt;=45,J372="Já existe verba aprovada para esse tema"),"Média","Baixa")))</f>
        <v/>
      </c>
      <c r="T372" s="17"/>
      <c r="U372" s="17"/>
      <c r="V372" s="17"/>
      <c r="W372" s="17"/>
      <c r="X372" s="17"/>
      <c r="Y372" s="17"/>
    </row>
    <row r="373" customFormat="false" ht="15" hidden="false" customHeight="fals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6" t="str">
        <f aca="false">IF(K373="","",IF(AND(K373&lt;=45,OR(J373="Já existe verba aprovada para esse tema",J373="Entra no orçamento do próximo ciclo")),"Alta",IF(OR(K373&lt;=45,J373="Já existe verba aprovada para esse tema"),"Média","Baixa")))</f>
        <v/>
      </c>
      <c r="T373" s="17"/>
      <c r="U373" s="17"/>
      <c r="V373" s="17"/>
      <c r="W373" s="17"/>
      <c r="X373" s="17"/>
      <c r="Y373" s="17"/>
    </row>
    <row r="374" customFormat="false" ht="15" hidden="false" customHeight="fals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6" t="str">
        <f aca="false">IF(K374="","",IF(AND(K374&lt;=45,OR(J374="Já existe verba aprovada para esse tema",J374="Entra no orçamento do próximo ciclo")),"Alta",IF(OR(K374&lt;=45,J374="Já existe verba aprovada para esse tema"),"Média","Baixa")))</f>
        <v/>
      </c>
      <c r="T374" s="17"/>
      <c r="U374" s="17"/>
      <c r="V374" s="17"/>
      <c r="W374" s="17"/>
      <c r="X374" s="17"/>
      <c r="Y374" s="17"/>
    </row>
    <row r="375" customFormat="false" ht="15" hidden="false" customHeight="fals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6" t="str">
        <f aca="false">IF(K375="","",IF(AND(K375&lt;=45,OR(J375="Já existe verba aprovada para esse tema",J375="Entra no orçamento do próximo ciclo")),"Alta",IF(OR(K375&lt;=45,J375="Já existe verba aprovada para esse tema"),"Média","Baixa")))</f>
        <v/>
      </c>
      <c r="T375" s="17"/>
      <c r="U375" s="17"/>
      <c r="V375" s="17"/>
      <c r="W375" s="17"/>
      <c r="X375" s="17"/>
      <c r="Y375" s="17"/>
    </row>
    <row r="376" customFormat="false" ht="15" hidden="false" customHeight="fals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6" t="str">
        <f aca="false">IF(K376="","",IF(AND(K376&lt;=45,OR(J376="Já existe verba aprovada para esse tema",J376="Entra no orçamento do próximo ciclo")),"Alta",IF(OR(K376&lt;=45,J376="Já existe verba aprovada para esse tema"),"Média","Baixa")))</f>
        <v/>
      </c>
      <c r="T376" s="17"/>
      <c r="U376" s="17"/>
      <c r="V376" s="17"/>
      <c r="W376" s="17"/>
      <c r="X376" s="17"/>
      <c r="Y376" s="17"/>
    </row>
    <row r="377" customFormat="false" ht="15" hidden="false" customHeight="fals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6" t="str">
        <f aca="false">IF(K377="","",IF(AND(K377&lt;=45,OR(J377="Já existe verba aprovada para esse tema",J377="Entra no orçamento do próximo ciclo")),"Alta",IF(OR(K377&lt;=45,J377="Já existe verba aprovada para esse tema"),"Média","Baixa")))</f>
        <v/>
      </c>
      <c r="T377" s="17"/>
      <c r="U377" s="17"/>
      <c r="V377" s="17"/>
      <c r="W377" s="17"/>
      <c r="X377" s="17"/>
      <c r="Y377" s="17"/>
    </row>
    <row r="378" customFormat="false" ht="15" hidden="false" customHeight="fals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6" t="str">
        <f aca="false">IF(K378="","",IF(AND(K378&lt;=45,OR(J378="Já existe verba aprovada para esse tema",J378="Entra no orçamento do próximo ciclo")),"Alta",IF(OR(K378&lt;=45,J378="Já existe verba aprovada para esse tema"),"Média","Baixa")))</f>
        <v/>
      </c>
      <c r="T378" s="17"/>
      <c r="U378" s="17"/>
      <c r="V378" s="17"/>
      <c r="W378" s="17"/>
      <c r="X378" s="17"/>
      <c r="Y378" s="17"/>
    </row>
    <row r="379" customFormat="false" ht="15" hidden="false" customHeight="fals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6" t="str">
        <f aca="false">IF(K379="","",IF(AND(K379&lt;=45,OR(J379="Já existe verba aprovada para esse tema",J379="Entra no orçamento do próximo ciclo")),"Alta",IF(OR(K379&lt;=45,J379="Já existe verba aprovada para esse tema"),"Média","Baixa")))</f>
        <v/>
      </c>
      <c r="T379" s="17"/>
      <c r="U379" s="17"/>
      <c r="V379" s="17"/>
      <c r="W379" s="17"/>
      <c r="X379" s="17"/>
      <c r="Y379" s="17"/>
    </row>
    <row r="380" customFormat="false" ht="15" hidden="false" customHeight="fals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6" t="str">
        <f aca="false">IF(K380="","",IF(AND(K380&lt;=45,OR(J380="Já existe verba aprovada para esse tema",J380="Entra no orçamento do próximo ciclo")),"Alta",IF(OR(K380&lt;=45,J380="Já existe verba aprovada para esse tema"),"Média","Baixa")))</f>
        <v/>
      </c>
      <c r="T380" s="17"/>
      <c r="U380" s="17"/>
      <c r="V380" s="17"/>
      <c r="W380" s="17"/>
      <c r="X380" s="17"/>
      <c r="Y380" s="17"/>
    </row>
    <row r="381" customFormat="false" ht="15" hidden="false" customHeight="fals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6" t="str">
        <f aca="false">IF(K381="","",IF(AND(K381&lt;=45,OR(J381="Já existe verba aprovada para esse tema",J381="Entra no orçamento do próximo ciclo")),"Alta",IF(OR(K381&lt;=45,J381="Já existe verba aprovada para esse tema"),"Média","Baixa")))</f>
        <v/>
      </c>
      <c r="T381" s="17"/>
      <c r="U381" s="17"/>
      <c r="V381" s="17"/>
      <c r="W381" s="17"/>
      <c r="X381" s="17"/>
      <c r="Y381" s="17"/>
    </row>
    <row r="382" customFormat="false" ht="15" hidden="false" customHeight="fals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6" t="str">
        <f aca="false">IF(K382="","",IF(AND(K382&lt;=45,OR(J382="Já existe verba aprovada para esse tema",J382="Entra no orçamento do próximo ciclo")),"Alta",IF(OR(K382&lt;=45,J382="Já existe verba aprovada para esse tema"),"Média","Baixa")))</f>
        <v/>
      </c>
      <c r="T382" s="17"/>
      <c r="U382" s="17"/>
      <c r="V382" s="17"/>
      <c r="W382" s="17"/>
      <c r="X382" s="17"/>
      <c r="Y382" s="17"/>
    </row>
    <row r="383" customFormat="false" ht="15" hidden="false" customHeight="fals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6" t="str">
        <f aca="false">IF(K383="","",IF(AND(K383&lt;=45,OR(J383="Já existe verba aprovada para esse tema",J383="Entra no orçamento do próximo ciclo")),"Alta",IF(OR(K383&lt;=45,J383="Já existe verba aprovada para esse tema"),"Média","Baixa")))</f>
        <v/>
      </c>
      <c r="T383" s="17"/>
      <c r="U383" s="17"/>
      <c r="V383" s="17"/>
      <c r="W383" s="17"/>
      <c r="X383" s="17"/>
      <c r="Y383" s="17"/>
    </row>
    <row r="384" customFormat="false" ht="15" hidden="false" customHeight="fals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6" t="str">
        <f aca="false">IF(K384="","",IF(AND(K384&lt;=45,OR(J384="Já existe verba aprovada para esse tema",J384="Entra no orçamento do próximo ciclo")),"Alta",IF(OR(K384&lt;=45,J384="Já existe verba aprovada para esse tema"),"Média","Baixa")))</f>
        <v/>
      </c>
      <c r="T384" s="17"/>
      <c r="U384" s="17"/>
      <c r="V384" s="17"/>
      <c r="W384" s="17"/>
      <c r="X384" s="17"/>
      <c r="Y384" s="17"/>
    </row>
    <row r="385" customFormat="false" ht="15" hidden="false" customHeight="fals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6" t="str">
        <f aca="false">IF(K385="","",IF(AND(K385&lt;=45,OR(J385="Já existe verba aprovada para esse tema",J385="Entra no orçamento do próximo ciclo")),"Alta",IF(OR(K385&lt;=45,J385="Já existe verba aprovada para esse tema"),"Média","Baixa")))</f>
        <v/>
      </c>
      <c r="T385" s="17"/>
      <c r="U385" s="17"/>
      <c r="V385" s="17"/>
      <c r="W385" s="17"/>
      <c r="X385" s="17"/>
      <c r="Y385" s="17"/>
    </row>
    <row r="386" customFormat="false" ht="15" hidden="false" customHeight="fals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6" t="str">
        <f aca="false">IF(K386="","",IF(AND(K386&lt;=45,OR(J386="Já existe verba aprovada para esse tema",J386="Entra no orçamento do próximo ciclo")),"Alta",IF(OR(K386&lt;=45,J386="Já existe verba aprovada para esse tema"),"Média","Baixa")))</f>
        <v/>
      </c>
      <c r="T386" s="17"/>
      <c r="U386" s="17"/>
      <c r="V386" s="17"/>
      <c r="W386" s="17"/>
      <c r="X386" s="17"/>
      <c r="Y386" s="17"/>
    </row>
    <row r="387" customFormat="false" ht="15" hidden="false" customHeight="fals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6" t="str">
        <f aca="false">IF(K387="","",IF(AND(K387&lt;=45,OR(J387="Já existe verba aprovada para esse tema",J387="Entra no orçamento do próximo ciclo")),"Alta",IF(OR(K387&lt;=45,J387="Já existe verba aprovada para esse tema"),"Média","Baixa")))</f>
        <v/>
      </c>
      <c r="T387" s="17"/>
      <c r="U387" s="17"/>
      <c r="V387" s="17"/>
      <c r="W387" s="17"/>
      <c r="X387" s="17"/>
      <c r="Y387" s="17"/>
    </row>
    <row r="388" customFormat="false" ht="15" hidden="false" customHeight="fals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6" t="str">
        <f aca="false">IF(K388="","",IF(AND(K388&lt;=45,OR(J388="Já existe verba aprovada para esse tema",J388="Entra no orçamento do próximo ciclo")),"Alta",IF(OR(K388&lt;=45,J388="Já existe verba aprovada para esse tema"),"Média","Baixa")))</f>
        <v/>
      </c>
      <c r="T388" s="17"/>
      <c r="U388" s="17"/>
      <c r="V388" s="17"/>
      <c r="W388" s="17"/>
      <c r="X388" s="17"/>
      <c r="Y388" s="17"/>
    </row>
    <row r="389" customFormat="false" ht="15" hidden="false" customHeight="fals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6" t="str">
        <f aca="false">IF(K389="","",IF(AND(K389&lt;=45,OR(J389="Já existe verba aprovada para esse tema",J389="Entra no orçamento do próximo ciclo")),"Alta",IF(OR(K389&lt;=45,J389="Já existe verba aprovada para esse tema"),"Média","Baixa")))</f>
        <v/>
      </c>
      <c r="T389" s="17"/>
      <c r="U389" s="17"/>
      <c r="V389" s="17"/>
      <c r="W389" s="17"/>
      <c r="X389" s="17"/>
      <c r="Y389" s="17"/>
    </row>
    <row r="390" customFormat="false" ht="15" hidden="false" customHeight="fals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6" t="str">
        <f aca="false">IF(K390="","",IF(AND(K390&lt;=45,OR(J390="Já existe verba aprovada para esse tema",J390="Entra no orçamento do próximo ciclo")),"Alta",IF(OR(K390&lt;=45,J390="Já existe verba aprovada para esse tema"),"Média","Baixa")))</f>
        <v/>
      </c>
      <c r="T390" s="17"/>
      <c r="U390" s="17"/>
      <c r="V390" s="17"/>
      <c r="W390" s="17"/>
      <c r="X390" s="17"/>
      <c r="Y390" s="17"/>
    </row>
    <row r="391" customFormat="false" ht="15" hidden="false" customHeight="fals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6" t="str">
        <f aca="false">IF(K391="","",IF(AND(K391&lt;=45,OR(J391="Já existe verba aprovada para esse tema",J391="Entra no orçamento do próximo ciclo")),"Alta",IF(OR(K391&lt;=45,J391="Já existe verba aprovada para esse tema"),"Média","Baixa")))</f>
        <v/>
      </c>
      <c r="T391" s="17"/>
      <c r="U391" s="17"/>
      <c r="V391" s="17"/>
      <c r="W391" s="17"/>
      <c r="X391" s="17"/>
      <c r="Y391" s="17"/>
    </row>
    <row r="392" customFormat="false" ht="15" hidden="false" customHeight="fals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6" t="str">
        <f aca="false">IF(K392="","",IF(AND(K392&lt;=45,OR(J392="Já existe verba aprovada para esse tema",J392="Entra no orçamento do próximo ciclo")),"Alta",IF(OR(K392&lt;=45,J392="Já existe verba aprovada para esse tema"),"Média","Baixa")))</f>
        <v/>
      </c>
      <c r="T392" s="17"/>
      <c r="U392" s="17"/>
      <c r="V392" s="17"/>
      <c r="W392" s="17"/>
      <c r="X392" s="17"/>
      <c r="Y392" s="17"/>
    </row>
    <row r="393" customFormat="false" ht="15" hidden="false" customHeight="fals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6" t="str">
        <f aca="false">IF(K393="","",IF(AND(K393&lt;=45,OR(J393="Já existe verba aprovada para esse tema",J393="Entra no orçamento do próximo ciclo")),"Alta",IF(OR(K393&lt;=45,J393="Já existe verba aprovada para esse tema"),"Média","Baixa")))</f>
        <v/>
      </c>
      <c r="T393" s="17"/>
      <c r="U393" s="17"/>
      <c r="V393" s="17"/>
      <c r="W393" s="17"/>
      <c r="X393" s="17"/>
      <c r="Y393" s="17"/>
    </row>
    <row r="394" customFormat="false" ht="15" hidden="false" customHeight="fals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6" t="str">
        <f aca="false">IF(K394="","",IF(AND(K394&lt;=45,OR(J394="Já existe verba aprovada para esse tema",J394="Entra no orçamento do próximo ciclo")),"Alta",IF(OR(K394&lt;=45,J394="Já existe verba aprovada para esse tema"),"Média","Baixa")))</f>
        <v/>
      </c>
      <c r="T394" s="17"/>
      <c r="U394" s="17"/>
      <c r="V394" s="17"/>
      <c r="W394" s="17"/>
      <c r="X394" s="17"/>
      <c r="Y394" s="17"/>
    </row>
    <row r="395" customFormat="false" ht="15" hidden="false" customHeight="fals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6" t="str">
        <f aca="false">IF(K395="","",IF(AND(K395&lt;=45,OR(J395="Já existe verba aprovada para esse tema",J395="Entra no orçamento do próximo ciclo")),"Alta",IF(OR(K395&lt;=45,J395="Já existe verba aprovada para esse tema"),"Média","Baixa")))</f>
        <v/>
      </c>
      <c r="T395" s="17"/>
      <c r="U395" s="17"/>
      <c r="V395" s="17"/>
      <c r="W395" s="17"/>
      <c r="X395" s="17"/>
      <c r="Y395" s="17"/>
    </row>
    <row r="396" customFormat="false" ht="15" hidden="false" customHeight="fals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6" t="str">
        <f aca="false">IF(K396="","",IF(AND(K396&lt;=45,OR(J396="Já existe verba aprovada para esse tema",J396="Entra no orçamento do próximo ciclo")),"Alta",IF(OR(K396&lt;=45,J396="Já existe verba aprovada para esse tema"),"Média","Baixa")))</f>
        <v/>
      </c>
      <c r="T396" s="17"/>
      <c r="U396" s="17"/>
      <c r="V396" s="17"/>
      <c r="W396" s="17"/>
      <c r="X396" s="17"/>
      <c r="Y396" s="17"/>
    </row>
    <row r="397" customFormat="false" ht="15" hidden="false" customHeight="fals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6" t="str">
        <f aca="false">IF(K397="","",IF(AND(K397&lt;=45,OR(J397="Já existe verba aprovada para esse tema",J397="Entra no orçamento do próximo ciclo")),"Alta",IF(OR(K397&lt;=45,J397="Já existe verba aprovada para esse tema"),"Média","Baixa")))</f>
        <v/>
      </c>
      <c r="T397" s="17"/>
      <c r="U397" s="17"/>
      <c r="V397" s="17"/>
      <c r="W397" s="17"/>
      <c r="X397" s="17"/>
      <c r="Y397" s="17"/>
    </row>
    <row r="398" customFormat="false" ht="15" hidden="false" customHeight="fals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6" t="str">
        <f aca="false">IF(K398="","",IF(AND(K398&lt;=45,OR(J398="Já existe verba aprovada para esse tema",J398="Entra no orçamento do próximo ciclo")),"Alta",IF(OR(K398&lt;=45,J398="Já existe verba aprovada para esse tema"),"Média","Baixa")))</f>
        <v/>
      </c>
      <c r="T398" s="17"/>
      <c r="U398" s="17"/>
      <c r="V398" s="17"/>
      <c r="W398" s="17"/>
      <c r="X398" s="17"/>
      <c r="Y398" s="17"/>
    </row>
    <row r="399" customFormat="false" ht="15" hidden="false" customHeight="fals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6" t="str">
        <f aca="false">IF(K399="","",IF(AND(K399&lt;=45,OR(J399="Já existe verba aprovada para esse tema",J399="Entra no orçamento do próximo ciclo")),"Alta",IF(OR(K399&lt;=45,J399="Já existe verba aprovada para esse tema"),"Média","Baixa")))</f>
        <v/>
      </c>
      <c r="T399" s="17"/>
      <c r="U399" s="17"/>
      <c r="V399" s="17"/>
      <c r="W399" s="17"/>
      <c r="X399" s="17"/>
      <c r="Y399" s="17"/>
    </row>
    <row r="400" customFormat="false" ht="15" hidden="false" customHeight="fals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6" t="str">
        <f aca="false">IF(K400="","",IF(AND(K400&lt;=45,OR(J400="Já existe verba aprovada para esse tema",J400="Entra no orçamento do próximo ciclo")),"Alta",IF(OR(K400&lt;=45,J400="Já existe verba aprovada para esse tema"),"Média","Baixa")))</f>
        <v/>
      </c>
      <c r="T400" s="17"/>
      <c r="U400" s="17"/>
      <c r="V400" s="17"/>
      <c r="W400" s="17"/>
      <c r="X400" s="17"/>
      <c r="Y400" s="17"/>
    </row>
    <row r="401" customFormat="false" ht="15" hidden="false" customHeight="fals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6" t="str">
        <f aca="false">IF(K401="","",IF(AND(K401&lt;=45,OR(J401="Já existe verba aprovada para esse tema",J401="Entra no orçamento do próximo ciclo")),"Alta",IF(OR(K401&lt;=45,J401="Já existe verba aprovada para esse tema"),"Média","Baixa")))</f>
        <v/>
      </c>
      <c r="T401" s="17"/>
      <c r="U401" s="17"/>
      <c r="V401" s="17"/>
      <c r="W401" s="17"/>
      <c r="X401" s="17"/>
      <c r="Y401" s="17"/>
    </row>
    <row r="402" customFormat="false" ht="15" hidden="false" customHeight="fals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6" t="str">
        <f aca="false">IF(K402="","",IF(AND(K402&lt;=45,OR(J402="Já existe verba aprovada para esse tema",J402="Entra no orçamento do próximo ciclo")),"Alta",IF(OR(K402&lt;=45,J402="Já existe verba aprovada para esse tema"),"Média","Baixa")))</f>
        <v/>
      </c>
      <c r="T402" s="17"/>
      <c r="U402" s="17"/>
      <c r="V402" s="17"/>
      <c r="W402" s="17"/>
      <c r="X402" s="17"/>
      <c r="Y402" s="17"/>
    </row>
    <row r="403" customFormat="false" ht="15" hidden="false" customHeight="fals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6" t="str">
        <f aca="false">IF(K403="","",IF(AND(K403&lt;=45,OR(J403="Já existe verba aprovada para esse tema",J403="Entra no orçamento do próximo ciclo")),"Alta",IF(OR(K403&lt;=45,J403="Já existe verba aprovada para esse tema"),"Média","Baixa")))</f>
        <v/>
      </c>
      <c r="T403" s="17"/>
      <c r="U403" s="17"/>
      <c r="V403" s="17"/>
      <c r="W403" s="17"/>
      <c r="X403" s="17"/>
      <c r="Y403" s="17"/>
    </row>
    <row r="404" customFormat="false" ht="15" hidden="false" customHeight="fals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6" t="str">
        <f aca="false">IF(K404="","",IF(AND(K404&lt;=45,OR(J404="Já existe verba aprovada para esse tema",J404="Entra no orçamento do próximo ciclo")),"Alta",IF(OR(K404&lt;=45,J404="Já existe verba aprovada para esse tema"),"Média","Baixa")))</f>
        <v/>
      </c>
      <c r="T404" s="17"/>
      <c r="U404" s="17"/>
      <c r="V404" s="17"/>
      <c r="W404" s="17"/>
      <c r="X404" s="17"/>
      <c r="Y404" s="17"/>
    </row>
    <row r="405" customFormat="false" ht="15" hidden="false" customHeight="fals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6" t="str">
        <f aca="false">IF(K405="","",IF(AND(K405&lt;=45,OR(J405="Já existe verba aprovada para esse tema",J405="Entra no orçamento do próximo ciclo")),"Alta",IF(OR(K405&lt;=45,J405="Já existe verba aprovada para esse tema"),"Média","Baixa")))</f>
        <v/>
      </c>
      <c r="T405" s="17"/>
      <c r="U405" s="17"/>
      <c r="V405" s="17"/>
      <c r="W405" s="17"/>
      <c r="X405" s="17"/>
      <c r="Y405" s="17"/>
    </row>
    <row r="406" customFormat="false" ht="15" hidden="false" customHeight="fals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6" t="str">
        <f aca="false">IF(K406="","",IF(AND(K406&lt;=45,OR(J406="Já existe verba aprovada para esse tema",J406="Entra no orçamento do próximo ciclo")),"Alta",IF(OR(K406&lt;=45,J406="Já existe verba aprovada para esse tema"),"Média","Baixa")))</f>
        <v/>
      </c>
      <c r="T406" s="17"/>
      <c r="U406" s="17"/>
      <c r="V406" s="17"/>
      <c r="W406" s="17"/>
      <c r="X406" s="17"/>
      <c r="Y406" s="17"/>
    </row>
    <row r="407" customFormat="false" ht="15" hidden="false" customHeight="fals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6" t="str">
        <f aca="false">IF(K407="","",IF(AND(K407&lt;=45,OR(J407="Já existe verba aprovada para esse tema",J407="Entra no orçamento do próximo ciclo")),"Alta",IF(OR(K407&lt;=45,J407="Já existe verba aprovada para esse tema"),"Média","Baixa")))</f>
        <v/>
      </c>
      <c r="T407" s="17"/>
      <c r="U407" s="17"/>
      <c r="V407" s="17"/>
      <c r="W407" s="17"/>
      <c r="X407" s="17"/>
      <c r="Y407" s="17"/>
    </row>
    <row r="408" customFormat="false" ht="15" hidden="false" customHeight="fals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6" t="str">
        <f aca="false">IF(K408="","",IF(AND(K408&lt;=45,OR(J408="Já existe verba aprovada para esse tema",J408="Entra no orçamento do próximo ciclo")),"Alta",IF(OR(K408&lt;=45,J408="Já existe verba aprovada para esse tema"),"Média","Baixa")))</f>
        <v/>
      </c>
      <c r="T408" s="17"/>
      <c r="U408" s="17"/>
      <c r="V408" s="17"/>
      <c r="W408" s="17"/>
      <c r="X408" s="17"/>
      <c r="Y408" s="17"/>
    </row>
    <row r="409" customFormat="false" ht="15" hidden="false" customHeight="fals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6" t="str">
        <f aca="false">IF(K409="","",IF(AND(K409&lt;=45,OR(J409="Já existe verba aprovada para esse tema",J409="Entra no orçamento do próximo ciclo")),"Alta",IF(OR(K409&lt;=45,J409="Já existe verba aprovada para esse tema"),"Média","Baixa")))</f>
        <v/>
      </c>
      <c r="T409" s="17"/>
      <c r="U409" s="17"/>
      <c r="V409" s="17"/>
      <c r="W409" s="17"/>
      <c r="X409" s="17"/>
      <c r="Y409" s="17"/>
    </row>
    <row r="410" customFormat="false" ht="15" hidden="false" customHeight="fals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6" t="str">
        <f aca="false">IF(K410="","",IF(AND(K410&lt;=45,OR(J410="Já existe verba aprovada para esse tema",J410="Entra no orçamento do próximo ciclo")),"Alta",IF(OR(K410&lt;=45,J410="Já existe verba aprovada para esse tema"),"Média","Baixa")))</f>
        <v/>
      </c>
      <c r="T410" s="17"/>
      <c r="U410" s="17"/>
      <c r="V410" s="17"/>
      <c r="W410" s="17"/>
      <c r="X410" s="17"/>
      <c r="Y410" s="17"/>
    </row>
    <row r="411" customFormat="false" ht="15" hidden="false" customHeight="fals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6" t="str">
        <f aca="false">IF(K411="","",IF(AND(K411&lt;=45,OR(J411="Já existe verba aprovada para esse tema",J411="Entra no orçamento do próximo ciclo")),"Alta",IF(OR(K411&lt;=45,J411="Já existe verba aprovada para esse tema"),"Média","Baixa")))</f>
        <v/>
      </c>
      <c r="T411" s="17"/>
      <c r="U411" s="17"/>
      <c r="V411" s="17"/>
      <c r="W411" s="17"/>
      <c r="X411" s="17"/>
      <c r="Y411" s="17"/>
    </row>
    <row r="412" customFormat="false" ht="15" hidden="false" customHeight="fals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6" t="str">
        <f aca="false">IF(K412="","",IF(AND(K412&lt;=45,OR(J412="Já existe verba aprovada para esse tema",J412="Entra no orçamento do próximo ciclo")),"Alta",IF(OR(K412&lt;=45,J412="Já existe verba aprovada para esse tema"),"Média","Baixa")))</f>
        <v/>
      </c>
      <c r="T412" s="17"/>
      <c r="U412" s="17"/>
      <c r="V412" s="17"/>
      <c r="W412" s="17"/>
      <c r="X412" s="17"/>
      <c r="Y412" s="17"/>
    </row>
    <row r="413" customFormat="false" ht="15" hidden="false" customHeight="fals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6" t="str">
        <f aca="false">IF(K413="","",IF(AND(K413&lt;=45,OR(J413="Já existe verba aprovada para esse tema",J413="Entra no orçamento do próximo ciclo")),"Alta",IF(OR(K413&lt;=45,J413="Já existe verba aprovada para esse tema"),"Média","Baixa")))</f>
        <v/>
      </c>
      <c r="T413" s="17"/>
      <c r="U413" s="17"/>
      <c r="V413" s="17"/>
      <c r="W413" s="17"/>
      <c r="X413" s="17"/>
      <c r="Y413" s="17"/>
    </row>
    <row r="414" customFormat="false" ht="15" hidden="false" customHeight="fals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6" t="str">
        <f aca="false">IF(K414="","",IF(AND(K414&lt;=45,OR(J414="Já existe verba aprovada para esse tema",J414="Entra no orçamento do próximo ciclo")),"Alta",IF(OR(K414&lt;=45,J414="Já existe verba aprovada para esse tema"),"Média","Baixa")))</f>
        <v/>
      </c>
      <c r="T414" s="17"/>
      <c r="U414" s="17"/>
      <c r="V414" s="17"/>
      <c r="W414" s="17"/>
      <c r="X414" s="17"/>
      <c r="Y414" s="17"/>
    </row>
    <row r="415" customFormat="false" ht="15" hidden="false" customHeight="fals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6" t="str">
        <f aca="false">IF(K415="","",IF(AND(K415&lt;=45,OR(J415="Já existe verba aprovada para esse tema",J415="Entra no orçamento do próximo ciclo")),"Alta",IF(OR(K415&lt;=45,J415="Já existe verba aprovada para esse tema"),"Média","Baixa")))</f>
        <v/>
      </c>
      <c r="T415" s="17"/>
      <c r="U415" s="17"/>
      <c r="V415" s="17"/>
      <c r="W415" s="17"/>
      <c r="X415" s="17"/>
      <c r="Y415" s="17"/>
    </row>
    <row r="416" customFormat="false" ht="15" hidden="false" customHeight="fals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6" t="str">
        <f aca="false">IF(K416="","",IF(AND(K416&lt;=45,OR(J416="Já existe verba aprovada para esse tema",J416="Entra no orçamento do próximo ciclo")),"Alta",IF(OR(K416&lt;=45,J416="Já existe verba aprovada para esse tema"),"Média","Baixa")))</f>
        <v/>
      </c>
      <c r="T416" s="17"/>
      <c r="U416" s="17"/>
      <c r="V416" s="17"/>
      <c r="W416" s="17"/>
      <c r="X416" s="17"/>
      <c r="Y416" s="17"/>
    </row>
    <row r="417" customFormat="false" ht="15" hidden="false" customHeight="fals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6" t="str">
        <f aca="false">IF(K417="","",IF(AND(K417&lt;=45,OR(J417="Já existe verba aprovada para esse tema",J417="Entra no orçamento do próximo ciclo")),"Alta",IF(OR(K417&lt;=45,J417="Já existe verba aprovada para esse tema"),"Média","Baixa")))</f>
        <v/>
      </c>
      <c r="T417" s="17"/>
      <c r="U417" s="17"/>
      <c r="V417" s="17"/>
      <c r="W417" s="17"/>
      <c r="X417" s="17"/>
      <c r="Y417" s="17"/>
    </row>
    <row r="418" customFormat="false" ht="15" hidden="false" customHeight="fals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6" t="str">
        <f aca="false">IF(K418="","",IF(AND(K418&lt;=45,OR(J418="Já existe verba aprovada para esse tema",J418="Entra no orçamento do próximo ciclo")),"Alta",IF(OR(K418&lt;=45,J418="Já existe verba aprovada para esse tema"),"Média","Baixa")))</f>
        <v/>
      </c>
      <c r="T418" s="17"/>
      <c r="U418" s="17"/>
      <c r="V418" s="17"/>
      <c r="W418" s="17"/>
      <c r="X418" s="17"/>
      <c r="Y418" s="17"/>
    </row>
    <row r="419" customFormat="false" ht="15" hidden="false" customHeight="fals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6" t="str">
        <f aca="false">IF(K419="","",IF(AND(K419&lt;=45,OR(J419="Já existe verba aprovada para esse tema",J419="Entra no orçamento do próximo ciclo")),"Alta",IF(OR(K419&lt;=45,J419="Já existe verba aprovada para esse tema"),"Média","Baixa")))</f>
        <v/>
      </c>
      <c r="T419" s="17"/>
      <c r="U419" s="17"/>
      <c r="V419" s="17"/>
      <c r="W419" s="17"/>
      <c r="X419" s="17"/>
      <c r="Y419" s="17"/>
    </row>
    <row r="420" customFormat="false" ht="15" hidden="false" customHeight="fals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6" t="str">
        <f aca="false">IF(K420="","",IF(AND(K420&lt;=45,OR(J420="Já existe verba aprovada para esse tema",J420="Entra no orçamento do próximo ciclo")),"Alta",IF(OR(K420&lt;=45,J420="Já existe verba aprovada para esse tema"),"Média","Baixa")))</f>
        <v/>
      </c>
      <c r="T420" s="17"/>
      <c r="U420" s="17"/>
      <c r="V420" s="17"/>
      <c r="W420" s="17"/>
      <c r="X420" s="17"/>
      <c r="Y420" s="17"/>
    </row>
    <row r="421" customFormat="false" ht="15" hidden="false" customHeight="fals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6" t="str">
        <f aca="false">IF(K421="","",IF(AND(K421&lt;=45,OR(J421="Já existe verba aprovada para esse tema",J421="Entra no orçamento do próximo ciclo")),"Alta",IF(OR(K421&lt;=45,J421="Já existe verba aprovada para esse tema"),"Média","Baixa")))</f>
        <v/>
      </c>
      <c r="T421" s="17"/>
      <c r="U421" s="17"/>
      <c r="V421" s="17"/>
      <c r="W421" s="17"/>
      <c r="X421" s="17"/>
      <c r="Y421" s="17"/>
    </row>
    <row r="422" customFormat="false" ht="15" hidden="false" customHeight="fals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6" t="str">
        <f aca="false">IF(K422="","",IF(AND(K422&lt;=45,OR(J422="Já existe verba aprovada para esse tema",J422="Entra no orçamento do próximo ciclo")),"Alta",IF(OR(K422&lt;=45,J422="Já existe verba aprovada para esse tema"),"Média","Baixa")))</f>
        <v/>
      </c>
      <c r="T422" s="17"/>
      <c r="U422" s="17"/>
      <c r="V422" s="17"/>
      <c r="W422" s="17"/>
      <c r="X422" s="17"/>
      <c r="Y422" s="17"/>
    </row>
    <row r="423" customFormat="false" ht="15" hidden="false" customHeight="fals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6" t="str">
        <f aca="false">IF(K423="","",IF(AND(K423&lt;=45,OR(J423="Já existe verba aprovada para esse tema",J423="Entra no orçamento do próximo ciclo")),"Alta",IF(OR(K423&lt;=45,J423="Já existe verba aprovada para esse tema"),"Média","Baixa")))</f>
        <v/>
      </c>
      <c r="T423" s="17"/>
      <c r="U423" s="17"/>
      <c r="V423" s="17"/>
      <c r="W423" s="17"/>
      <c r="X423" s="17"/>
      <c r="Y423" s="17"/>
    </row>
    <row r="424" customFormat="false" ht="15" hidden="false" customHeight="fals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6" t="str">
        <f aca="false">IF(K424="","",IF(AND(K424&lt;=45,OR(J424="Já existe verba aprovada para esse tema",J424="Entra no orçamento do próximo ciclo")),"Alta",IF(OR(K424&lt;=45,J424="Já existe verba aprovada para esse tema"),"Média","Baixa")))</f>
        <v/>
      </c>
      <c r="T424" s="17"/>
      <c r="U424" s="17"/>
      <c r="V424" s="17"/>
      <c r="W424" s="17"/>
      <c r="X424" s="17"/>
      <c r="Y424" s="17"/>
    </row>
    <row r="425" customFormat="false" ht="15" hidden="false" customHeight="fals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6" t="str">
        <f aca="false">IF(K425="","",IF(AND(K425&lt;=45,OR(J425="Já existe verba aprovada para esse tema",J425="Entra no orçamento do próximo ciclo")),"Alta",IF(OR(K425&lt;=45,J425="Já existe verba aprovada para esse tema"),"Média","Baixa")))</f>
        <v/>
      </c>
      <c r="T425" s="17"/>
      <c r="U425" s="17"/>
      <c r="V425" s="17"/>
      <c r="W425" s="17"/>
      <c r="X425" s="17"/>
      <c r="Y425" s="17"/>
    </row>
    <row r="426" customFormat="false" ht="15" hidden="false" customHeight="fals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6" t="str">
        <f aca="false">IF(K426="","",IF(AND(K426&lt;=45,OR(J426="Já existe verba aprovada para esse tema",J426="Entra no orçamento do próximo ciclo")),"Alta",IF(OR(K426&lt;=45,J426="Já existe verba aprovada para esse tema"),"Média","Baixa")))</f>
        <v/>
      </c>
      <c r="T426" s="17"/>
      <c r="U426" s="17"/>
      <c r="V426" s="17"/>
      <c r="W426" s="17"/>
      <c r="X426" s="17"/>
      <c r="Y426" s="17"/>
    </row>
    <row r="427" customFormat="false" ht="15" hidden="false" customHeight="fals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6" t="str">
        <f aca="false">IF(K427="","",IF(AND(K427&lt;=45,OR(J427="Já existe verba aprovada para esse tema",J427="Entra no orçamento do próximo ciclo")),"Alta",IF(OR(K427&lt;=45,J427="Já existe verba aprovada para esse tema"),"Média","Baixa")))</f>
        <v/>
      </c>
      <c r="T427" s="17"/>
      <c r="U427" s="17"/>
      <c r="V427" s="17"/>
      <c r="W427" s="17"/>
      <c r="X427" s="17"/>
      <c r="Y427" s="17"/>
    </row>
    <row r="428" customFormat="false" ht="15" hidden="false" customHeight="fals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6" t="str">
        <f aca="false">IF(K428="","",IF(AND(K428&lt;=45,OR(J428="Já existe verba aprovada para esse tema",J428="Entra no orçamento do próximo ciclo")),"Alta",IF(OR(K428&lt;=45,J428="Já existe verba aprovada para esse tema"),"Média","Baixa")))</f>
        <v/>
      </c>
      <c r="T428" s="17"/>
      <c r="U428" s="17"/>
      <c r="V428" s="17"/>
      <c r="W428" s="17"/>
      <c r="X428" s="17"/>
      <c r="Y428" s="17"/>
    </row>
    <row r="429" customFormat="false" ht="15" hidden="false" customHeight="fals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6" t="str">
        <f aca="false">IF(K429="","",IF(AND(K429&lt;=45,OR(J429="Já existe verba aprovada para esse tema",J429="Entra no orçamento do próximo ciclo")),"Alta",IF(OR(K429&lt;=45,J429="Já existe verba aprovada para esse tema"),"Média","Baixa")))</f>
        <v/>
      </c>
      <c r="T429" s="17"/>
      <c r="U429" s="17"/>
      <c r="V429" s="17"/>
      <c r="W429" s="17"/>
      <c r="X429" s="17"/>
      <c r="Y429" s="17"/>
    </row>
    <row r="430" customFormat="false" ht="15" hidden="false" customHeight="fals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6" t="str">
        <f aca="false">IF(K430="","",IF(AND(K430&lt;=45,OR(J430="Já existe verba aprovada para esse tema",J430="Entra no orçamento do próximo ciclo")),"Alta",IF(OR(K430&lt;=45,J430="Já existe verba aprovada para esse tema"),"Média","Baixa")))</f>
        <v/>
      </c>
      <c r="T430" s="17"/>
      <c r="U430" s="17"/>
      <c r="V430" s="17"/>
      <c r="W430" s="17"/>
      <c r="X430" s="17"/>
      <c r="Y430" s="17"/>
    </row>
    <row r="431" customFormat="false" ht="15" hidden="false" customHeight="fals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6" t="str">
        <f aca="false">IF(K431="","",IF(AND(K431&lt;=45,OR(J431="Já existe verba aprovada para esse tema",J431="Entra no orçamento do próximo ciclo")),"Alta",IF(OR(K431&lt;=45,J431="Já existe verba aprovada para esse tema"),"Média","Baixa")))</f>
        <v/>
      </c>
      <c r="T431" s="17"/>
      <c r="U431" s="17"/>
      <c r="V431" s="17"/>
      <c r="W431" s="17"/>
      <c r="X431" s="17"/>
      <c r="Y431" s="17"/>
    </row>
    <row r="432" customFormat="false" ht="15" hidden="false" customHeight="fals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6" t="str">
        <f aca="false">IF(K432="","",IF(AND(K432&lt;=45,OR(J432="Já existe verba aprovada para esse tema",J432="Entra no orçamento do próximo ciclo")),"Alta",IF(OR(K432&lt;=45,J432="Já existe verba aprovada para esse tema"),"Média","Baixa")))</f>
        <v/>
      </c>
      <c r="T432" s="17"/>
      <c r="U432" s="17"/>
      <c r="V432" s="17"/>
      <c r="W432" s="17"/>
      <c r="X432" s="17"/>
      <c r="Y432" s="17"/>
    </row>
    <row r="433" customFormat="false" ht="15" hidden="false" customHeight="fals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6" t="str">
        <f aca="false">IF(K433="","",IF(AND(K433&lt;=45,OR(J433="Já existe verba aprovada para esse tema",J433="Entra no orçamento do próximo ciclo")),"Alta",IF(OR(K433&lt;=45,J433="Já existe verba aprovada para esse tema"),"Média","Baixa")))</f>
        <v/>
      </c>
      <c r="T433" s="17"/>
      <c r="U433" s="17"/>
      <c r="V433" s="17"/>
      <c r="W433" s="17"/>
      <c r="X433" s="17"/>
      <c r="Y433" s="17"/>
    </row>
    <row r="434" customFormat="false" ht="15" hidden="false" customHeight="fals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6" t="str">
        <f aca="false">IF(K434="","",IF(AND(K434&lt;=45,OR(J434="Já existe verba aprovada para esse tema",J434="Entra no orçamento do próximo ciclo")),"Alta",IF(OR(K434&lt;=45,J434="Já existe verba aprovada para esse tema"),"Média","Baixa")))</f>
        <v/>
      </c>
      <c r="T434" s="17"/>
      <c r="U434" s="17"/>
      <c r="V434" s="17"/>
      <c r="W434" s="17"/>
      <c r="X434" s="17"/>
      <c r="Y434" s="17"/>
    </row>
    <row r="435" customFormat="false" ht="15" hidden="false" customHeight="fals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6" t="str">
        <f aca="false">IF(K435="","",IF(AND(K435&lt;=45,OR(J435="Já existe verba aprovada para esse tema",J435="Entra no orçamento do próximo ciclo")),"Alta",IF(OR(K435&lt;=45,J435="Já existe verba aprovada para esse tema"),"Média","Baixa")))</f>
        <v/>
      </c>
      <c r="T435" s="17"/>
      <c r="U435" s="17"/>
      <c r="V435" s="17"/>
      <c r="W435" s="17"/>
      <c r="X435" s="17"/>
      <c r="Y435" s="17"/>
    </row>
    <row r="436" customFormat="false" ht="15" hidden="false" customHeight="fals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6" t="str">
        <f aca="false">IF(K436="","",IF(AND(K436&lt;=45,OR(J436="Já existe verba aprovada para esse tema",J436="Entra no orçamento do próximo ciclo")),"Alta",IF(OR(K436&lt;=45,J436="Já existe verba aprovada para esse tema"),"Média","Baixa")))</f>
        <v/>
      </c>
      <c r="T436" s="17"/>
      <c r="U436" s="17"/>
      <c r="V436" s="17"/>
      <c r="W436" s="17"/>
      <c r="X436" s="17"/>
      <c r="Y436" s="17"/>
    </row>
    <row r="437" customFormat="false" ht="15" hidden="false" customHeight="fals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6" t="str">
        <f aca="false">IF(K437="","",IF(AND(K437&lt;=45,OR(J437="Já existe verba aprovada para esse tema",J437="Entra no orçamento do próximo ciclo")),"Alta",IF(OR(K437&lt;=45,J437="Já existe verba aprovada para esse tema"),"Média","Baixa")))</f>
        <v/>
      </c>
      <c r="T437" s="17"/>
      <c r="U437" s="17"/>
      <c r="V437" s="17"/>
      <c r="W437" s="17"/>
      <c r="X437" s="17"/>
      <c r="Y437" s="17"/>
    </row>
    <row r="438" customFormat="false" ht="15" hidden="false" customHeight="fals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6" t="str">
        <f aca="false">IF(K438="","",IF(AND(K438&lt;=45,OR(J438="Já existe verba aprovada para esse tema",J438="Entra no orçamento do próximo ciclo")),"Alta",IF(OR(K438&lt;=45,J438="Já existe verba aprovada para esse tema"),"Média","Baixa")))</f>
        <v/>
      </c>
      <c r="T438" s="17"/>
      <c r="U438" s="17"/>
      <c r="V438" s="17"/>
      <c r="W438" s="17"/>
      <c r="X438" s="17"/>
      <c r="Y438" s="17"/>
    </row>
    <row r="439" customFormat="false" ht="15" hidden="false" customHeight="fals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6" t="str">
        <f aca="false">IF(K439="","",IF(AND(K439&lt;=45,OR(J439="Já existe verba aprovada para esse tema",J439="Entra no orçamento do próximo ciclo")),"Alta",IF(OR(K439&lt;=45,J439="Já existe verba aprovada para esse tema"),"Média","Baixa")))</f>
        <v/>
      </c>
      <c r="T439" s="17"/>
      <c r="U439" s="17"/>
      <c r="V439" s="17"/>
      <c r="W439" s="17"/>
      <c r="X439" s="17"/>
      <c r="Y439" s="17"/>
    </row>
    <row r="440" customFormat="false" ht="15" hidden="false" customHeight="fals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6" t="str">
        <f aca="false">IF(K440="","",IF(AND(K440&lt;=45,OR(J440="Já existe verba aprovada para esse tema",J440="Entra no orçamento do próximo ciclo")),"Alta",IF(OR(K440&lt;=45,J440="Já existe verba aprovada para esse tema"),"Média","Baixa")))</f>
        <v/>
      </c>
      <c r="T440" s="17"/>
      <c r="U440" s="17"/>
      <c r="V440" s="17"/>
      <c r="W440" s="17"/>
      <c r="X440" s="17"/>
      <c r="Y440" s="17"/>
    </row>
    <row r="441" customFormat="false" ht="15" hidden="false" customHeight="fals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6" t="str">
        <f aca="false">IF(K441="","",IF(AND(K441&lt;=45,OR(J441="Já existe verba aprovada para esse tema",J441="Entra no orçamento do próximo ciclo")),"Alta",IF(OR(K441&lt;=45,J441="Já existe verba aprovada para esse tema"),"Média","Baixa")))</f>
        <v/>
      </c>
      <c r="T441" s="17"/>
      <c r="U441" s="17"/>
      <c r="V441" s="17"/>
      <c r="W441" s="17"/>
      <c r="X441" s="17"/>
      <c r="Y441" s="17"/>
    </row>
    <row r="442" customFormat="false" ht="15" hidden="false" customHeight="fals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6" t="str">
        <f aca="false">IF(K442="","",IF(AND(K442&lt;=45,OR(J442="Já existe verba aprovada para esse tema",J442="Entra no orçamento do próximo ciclo")),"Alta",IF(OR(K442&lt;=45,J442="Já existe verba aprovada para esse tema"),"Média","Baixa")))</f>
        <v/>
      </c>
      <c r="T442" s="17"/>
      <c r="U442" s="17"/>
      <c r="V442" s="17"/>
      <c r="W442" s="17"/>
      <c r="X442" s="17"/>
      <c r="Y442" s="17"/>
    </row>
    <row r="443" customFormat="false" ht="15" hidden="false" customHeight="fals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6" t="str">
        <f aca="false">IF(K443="","",IF(AND(K443&lt;=45,OR(J443="Já existe verba aprovada para esse tema",J443="Entra no orçamento do próximo ciclo")),"Alta",IF(OR(K443&lt;=45,J443="Já existe verba aprovada para esse tema"),"Média","Baixa")))</f>
        <v/>
      </c>
      <c r="T443" s="17"/>
      <c r="U443" s="17"/>
      <c r="V443" s="17"/>
      <c r="W443" s="17"/>
      <c r="X443" s="17"/>
      <c r="Y443" s="17"/>
    </row>
    <row r="444" customFormat="false" ht="15" hidden="false" customHeight="fals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6" t="str">
        <f aca="false">IF(K444="","",IF(AND(K444&lt;=45,OR(J444="Já existe verba aprovada para esse tema",J444="Entra no orçamento do próximo ciclo")),"Alta",IF(OR(K444&lt;=45,J444="Já existe verba aprovada para esse tema"),"Média","Baixa")))</f>
        <v/>
      </c>
      <c r="T444" s="17"/>
      <c r="U444" s="17"/>
      <c r="V444" s="17"/>
      <c r="W444" s="17"/>
      <c r="X444" s="17"/>
      <c r="Y444" s="17"/>
    </row>
    <row r="445" customFormat="false" ht="15" hidden="false" customHeight="fals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6" t="str">
        <f aca="false">IF(K445="","",IF(AND(K445&lt;=45,OR(J445="Já existe verba aprovada para esse tema",J445="Entra no orçamento do próximo ciclo")),"Alta",IF(OR(K445&lt;=45,J445="Já existe verba aprovada para esse tema"),"Média","Baixa")))</f>
        <v/>
      </c>
      <c r="T445" s="17"/>
      <c r="U445" s="17"/>
      <c r="V445" s="17"/>
      <c r="W445" s="17"/>
      <c r="X445" s="17"/>
      <c r="Y445" s="17"/>
    </row>
    <row r="446" customFormat="false" ht="15" hidden="false" customHeight="fals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6" t="str">
        <f aca="false">IF(K446="","",IF(AND(K446&lt;=45,OR(J446="Já existe verba aprovada para esse tema",J446="Entra no orçamento do próximo ciclo")),"Alta",IF(OR(K446&lt;=45,J446="Já existe verba aprovada para esse tema"),"Média","Baixa")))</f>
        <v/>
      </c>
      <c r="T446" s="17"/>
      <c r="U446" s="17"/>
      <c r="V446" s="17"/>
      <c r="W446" s="17"/>
      <c r="X446" s="17"/>
      <c r="Y446" s="17"/>
    </row>
    <row r="447" customFormat="false" ht="15" hidden="false" customHeight="fals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6" t="str">
        <f aca="false">IF(K447="","",IF(AND(K447&lt;=45,OR(J447="Já existe verba aprovada para esse tema",J447="Entra no orçamento do próximo ciclo")),"Alta",IF(OR(K447&lt;=45,J447="Já existe verba aprovada para esse tema"),"Média","Baixa")))</f>
        <v/>
      </c>
      <c r="T447" s="17"/>
      <c r="U447" s="17"/>
      <c r="V447" s="17"/>
      <c r="W447" s="17"/>
      <c r="X447" s="17"/>
      <c r="Y447" s="17"/>
    </row>
    <row r="448" customFormat="false" ht="15" hidden="false" customHeight="fals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6" t="str">
        <f aca="false">IF(K448="","",IF(AND(K448&lt;=45,OR(J448="Já existe verba aprovada para esse tema",J448="Entra no orçamento do próximo ciclo")),"Alta",IF(OR(K448&lt;=45,J448="Já existe verba aprovada para esse tema"),"Média","Baixa")))</f>
        <v/>
      </c>
      <c r="T448" s="17"/>
      <c r="U448" s="17"/>
      <c r="V448" s="17"/>
      <c r="W448" s="17"/>
      <c r="X448" s="17"/>
      <c r="Y448" s="17"/>
    </row>
    <row r="449" customFormat="false" ht="15" hidden="false" customHeight="fals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6" t="str">
        <f aca="false">IF(K449="","",IF(AND(K449&lt;=45,OR(J449="Já existe verba aprovada para esse tema",J449="Entra no orçamento do próximo ciclo")),"Alta",IF(OR(K449&lt;=45,J449="Já existe verba aprovada para esse tema"),"Média","Baixa")))</f>
        <v/>
      </c>
      <c r="T449" s="17"/>
      <c r="U449" s="17"/>
      <c r="V449" s="17"/>
      <c r="W449" s="17"/>
      <c r="X449" s="17"/>
      <c r="Y449" s="17"/>
    </row>
    <row r="450" customFormat="false" ht="15" hidden="false" customHeight="fals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6" t="str">
        <f aca="false">IF(K450="","",IF(AND(K450&lt;=45,OR(J450="Já existe verba aprovada para esse tema",J450="Entra no orçamento do próximo ciclo")),"Alta",IF(OR(K450&lt;=45,J450="Já existe verba aprovada para esse tema"),"Média","Baixa")))</f>
        <v/>
      </c>
      <c r="T450" s="17"/>
      <c r="U450" s="17"/>
      <c r="V450" s="17"/>
      <c r="W450" s="17"/>
      <c r="X450" s="17"/>
      <c r="Y450" s="17"/>
    </row>
    <row r="451" customFormat="false" ht="15" hidden="false" customHeight="fals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6" t="str">
        <f aca="false">IF(K451="","",IF(AND(K451&lt;=45,OR(J451="Já existe verba aprovada para esse tema",J451="Entra no orçamento do próximo ciclo")),"Alta",IF(OR(K451&lt;=45,J451="Já existe verba aprovada para esse tema"),"Média","Baixa")))</f>
        <v/>
      </c>
      <c r="T451" s="17"/>
      <c r="U451" s="17"/>
      <c r="V451" s="17"/>
      <c r="W451" s="17"/>
      <c r="X451" s="17"/>
      <c r="Y451" s="17"/>
    </row>
    <row r="452" customFormat="false" ht="15" hidden="false" customHeight="fals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6" t="str">
        <f aca="false">IF(K452="","",IF(AND(K452&lt;=45,OR(J452="Já existe verba aprovada para esse tema",J452="Entra no orçamento do próximo ciclo")),"Alta",IF(OR(K452&lt;=45,J452="Já existe verba aprovada para esse tema"),"Média","Baixa")))</f>
        <v/>
      </c>
      <c r="T452" s="17"/>
      <c r="U452" s="17"/>
      <c r="V452" s="17"/>
      <c r="W452" s="17"/>
      <c r="X452" s="17"/>
      <c r="Y452" s="17"/>
    </row>
    <row r="453" customFormat="false" ht="15" hidden="false" customHeight="fals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6" t="str">
        <f aca="false">IF(K453="","",IF(AND(K453&lt;=45,OR(J453="Já existe verba aprovada para esse tema",J453="Entra no orçamento do próximo ciclo")),"Alta",IF(OR(K453&lt;=45,J453="Já existe verba aprovada para esse tema"),"Média","Baixa")))</f>
        <v/>
      </c>
      <c r="T453" s="17"/>
      <c r="U453" s="17"/>
      <c r="V453" s="17"/>
      <c r="W453" s="17"/>
      <c r="X453" s="17"/>
      <c r="Y453" s="17"/>
    </row>
    <row r="454" customFormat="false" ht="15" hidden="false" customHeight="fals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6" t="str">
        <f aca="false">IF(K454="","",IF(AND(K454&lt;=45,OR(J454="Já existe verba aprovada para esse tema",J454="Entra no orçamento do próximo ciclo")),"Alta",IF(OR(K454&lt;=45,J454="Já existe verba aprovada para esse tema"),"Média","Baixa")))</f>
        <v/>
      </c>
      <c r="T454" s="17"/>
      <c r="U454" s="17"/>
      <c r="V454" s="17"/>
      <c r="W454" s="17"/>
      <c r="X454" s="17"/>
      <c r="Y454" s="17"/>
    </row>
    <row r="455" customFormat="false" ht="15" hidden="false" customHeight="fals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6" t="str">
        <f aca="false">IF(K455="","",IF(AND(K455&lt;=45,OR(J455="Já existe verba aprovada para esse tema",J455="Entra no orçamento do próximo ciclo")),"Alta",IF(OR(K455&lt;=45,J455="Já existe verba aprovada para esse tema"),"Média","Baixa")))</f>
        <v/>
      </c>
      <c r="T455" s="17"/>
      <c r="U455" s="17"/>
      <c r="V455" s="17"/>
      <c r="W455" s="17"/>
      <c r="X455" s="17"/>
      <c r="Y455" s="17"/>
    </row>
    <row r="456" customFormat="false" ht="15" hidden="false" customHeight="fals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6" t="str">
        <f aca="false">IF(K456="","",IF(AND(K456&lt;=45,OR(J456="Já existe verba aprovada para esse tema",J456="Entra no orçamento do próximo ciclo")),"Alta",IF(OR(K456&lt;=45,J456="Já existe verba aprovada para esse tema"),"Média","Baixa")))</f>
        <v/>
      </c>
      <c r="T456" s="17"/>
      <c r="U456" s="17"/>
      <c r="V456" s="17"/>
      <c r="W456" s="17"/>
      <c r="X456" s="17"/>
      <c r="Y456" s="17"/>
    </row>
    <row r="457" customFormat="false" ht="15" hidden="false" customHeight="fals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6" t="str">
        <f aca="false">IF(K457="","",IF(AND(K457&lt;=45,OR(J457="Já existe verba aprovada para esse tema",J457="Entra no orçamento do próximo ciclo")),"Alta",IF(OR(K457&lt;=45,J457="Já existe verba aprovada para esse tema"),"Média","Baixa")))</f>
        <v/>
      </c>
      <c r="T457" s="17"/>
      <c r="U457" s="17"/>
      <c r="V457" s="17"/>
      <c r="W457" s="17"/>
      <c r="X457" s="17"/>
      <c r="Y457" s="17"/>
    </row>
    <row r="458" customFormat="false" ht="15" hidden="false" customHeight="fals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6" t="str">
        <f aca="false">IF(K458="","",IF(AND(K458&lt;=45,OR(J458="Já existe verba aprovada para esse tema",J458="Entra no orçamento do próximo ciclo")),"Alta",IF(OR(K458&lt;=45,J458="Já existe verba aprovada para esse tema"),"Média","Baixa")))</f>
        <v/>
      </c>
      <c r="T458" s="17"/>
      <c r="U458" s="17"/>
      <c r="V458" s="17"/>
      <c r="W458" s="17"/>
      <c r="X458" s="17"/>
      <c r="Y458" s="17"/>
    </row>
    <row r="459" customFormat="false" ht="15" hidden="false" customHeight="fals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6" t="str">
        <f aca="false">IF(K459="","",IF(AND(K459&lt;=45,OR(J459="Já existe verba aprovada para esse tema",J459="Entra no orçamento do próximo ciclo")),"Alta",IF(OR(K459&lt;=45,J459="Já existe verba aprovada para esse tema"),"Média","Baixa")))</f>
        <v/>
      </c>
      <c r="T459" s="17"/>
      <c r="U459" s="17"/>
      <c r="V459" s="17"/>
      <c r="W459" s="17"/>
      <c r="X459" s="17"/>
      <c r="Y459" s="17"/>
    </row>
    <row r="460" customFormat="false" ht="15" hidden="false" customHeight="fals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6" t="str">
        <f aca="false">IF(K460="","",IF(AND(K460&lt;=45,OR(J460="Já existe verba aprovada para esse tema",J460="Entra no orçamento do próximo ciclo")),"Alta",IF(OR(K460&lt;=45,J460="Já existe verba aprovada para esse tema"),"Média","Baixa")))</f>
        <v/>
      </c>
      <c r="T460" s="17"/>
      <c r="U460" s="17"/>
      <c r="V460" s="17"/>
      <c r="W460" s="17"/>
      <c r="X460" s="17"/>
      <c r="Y460" s="17"/>
    </row>
    <row r="461" customFormat="false" ht="15" hidden="false" customHeight="fals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6" t="str">
        <f aca="false">IF(K461="","",IF(AND(K461&lt;=45,OR(J461="Já existe verba aprovada para esse tema",J461="Entra no orçamento do próximo ciclo")),"Alta",IF(OR(K461&lt;=45,J461="Já existe verba aprovada para esse tema"),"Média","Baixa")))</f>
        <v/>
      </c>
      <c r="T461" s="17"/>
      <c r="U461" s="17"/>
      <c r="V461" s="17"/>
      <c r="W461" s="17"/>
      <c r="X461" s="17"/>
      <c r="Y461" s="17"/>
    </row>
    <row r="462" customFormat="false" ht="15" hidden="false" customHeight="fals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6" t="str">
        <f aca="false">IF(K462="","",IF(AND(K462&lt;=45,OR(J462="Já existe verba aprovada para esse tema",J462="Entra no orçamento do próximo ciclo")),"Alta",IF(OR(K462&lt;=45,J462="Já existe verba aprovada para esse tema"),"Média","Baixa")))</f>
        <v/>
      </c>
      <c r="T462" s="17"/>
      <c r="U462" s="17"/>
      <c r="V462" s="17"/>
      <c r="W462" s="17"/>
      <c r="X462" s="17"/>
      <c r="Y462" s="17"/>
    </row>
    <row r="463" customFormat="false" ht="15" hidden="false" customHeight="fals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6" t="str">
        <f aca="false">IF(K463="","",IF(AND(K463&lt;=45,OR(J463="Já existe verba aprovada para esse tema",J463="Entra no orçamento do próximo ciclo")),"Alta",IF(OR(K463&lt;=45,J463="Já existe verba aprovada para esse tema"),"Média","Baixa")))</f>
        <v/>
      </c>
      <c r="T463" s="17"/>
      <c r="U463" s="17"/>
      <c r="V463" s="17"/>
      <c r="W463" s="17"/>
      <c r="X463" s="17"/>
      <c r="Y463" s="17"/>
    </row>
    <row r="464" customFormat="false" ht="15" hidden="false" customHeight="fals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6" t="str">
        <f aca="false">IF(K464="","",IF(AND(K464&lt;=45,OR(J464="Já existe verba aprovada para esse tema",J464="Entra no orçamento do próximo ciclo")),"Alta",IF(OR(K464&lt;=45,J464="Já existe verba aprovada para esse tema"),"Média","Baixa")))</f>
        <v/>
      </c>
      <c r="T464" s="17"/>
      <c r="U464" s="17"/>
      <c r="V464" s="17"/>
      <c r="W464" s="17"/>
      <c r="X464" s="17"/>
      <c r="Y464" s="17"/>
    </row>
    <row r="465" customFormat="false" ht="15" hidden="false" customHeight="fals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6" t="str">
        <f aca="false">IF(K465="","",IF(AND(K465&lt;=45,OR(J465="Já existe verba aprovada para esse tema",J465="Entra no orçamento do próximo ciclo")),"Alta",IF(OR(K465&lt;=45,J465="Já existe verba aprovada para esse tema"),"Média","Baixa")))</f>
        <v/>
      </c>
      <c r="T465" s="17"/>
      <c r="U465" s="17"/>
      <c r="V465" s="17"/>
      <c r="W465" s="17"/>
      <c r="X465" s="17"/>
      <c r="Y465" s="17"/>
    </row>
    <row r="466" customFormat="false" ht="15" hidden="false" customHeight="fals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6" t="str">
        <f aca="false">IF(K466="","",IF(AND(K466&lt;=45,OR(J466="Já existe verba aprovada para esse tema",J466="Entra no orçamento do próximo ciclo")),"Alta",IF(OR(K466&lt;=45,J466="Já existe verba aprovada para esse tema"),"Média","Baixa")))</f>
        <v/>
      </c>
      <c r="T466" s="17"/>
      <c r="U466" s="17"/>
      <c r="V466" s="17"/>
      <c r="W466" s="17"/>
      <c r="X466" s="17"/>
      <c r="Y466" s="17"/>
    </row>
    <row r="467" customFormat="false" ht="15" hidden="false" customHeight="fals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6" t="str">
        <f aca="false">IF(K467="","",IF(AND(K467&lt;=45,OR(J467="Já existe verba aprovada para esse tema",J467="Entra no orçamento do próximo ciclo")),"Alta",IF(OR(K467&lt;=45,J467="Já existe verba aprovada para esse tema"),"Média","Baixa")))</f>
        <v/>
      </c>
      <c r="T467" s="17"/>
      <c r="U467" s="17"/>
      <c r="V467" s="17"/>
      <c r="W467" s="17"/>
      <c r="X467" s="17"/>
      <c r="Y467" s="17"/>
    </row>
    <row r="468" customFormat="false" ht="15" hidden="false" customHeight="fals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6" t="str">
        <f aca="false">IF(K468="","",IF(AND(K468&lt;=45,OR(J468="Já existe verba aprovada para esse tema",J468="Entra no orçamento do próximo ciclo")),"Alta",IF(OR(K468&lt;=45,J468="Já existe verba aprovada para esse tema"),"Média","Baixa")))</f>
        <v/>
      </c>
      <c r="T468" s="17"/>
      <c r="U468" s="17"/>
      <c r="V468" s="17"/>
      <c r="W468" s="17"/>
      <c r="X468" s="17"/>
      <c r="Y468" s="17"/>
    </row>
    <row r="469" customFormat="false" ht="15" hidden="false" customHeight="fals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6" t="str">
        <f aca="false">IF(K469="","",IF(AND(K469&lt;=45,OR(J469="Já existe verba aprovada para esse tema",J469="Entra no orçamento do próximo ciclo")),"Alta",IF(OR(K469&lt;=45,J469="Já existe verba aprovada para esse tema"),"Média","Baixa")))</f>
        <v/>
      </c>
      <c r="T469" s="17"/>
      <c r="U469" s="17"/>
      <c r="V469" s="17"/>
      <c r="W469" s="17"/>
      <c r="X469" s="17"/>
      <c r="Y469" s="17"/>
    </row>
    <row r="470" customFormat="false" ht="15" hidden="false" customHeight="fals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6" t="str">
        <f aca="false">IF(K470="","",IF(AND(K470&lt;=45,OR(J470="Já existe verba aprovada para esse tema",J470="Entra no orçamento do próximo ciclo")),"Alta",IF(OR(K470&lt;=45,J470="Já existe verba aprovada para esse tema"),"Média","Baixa")))</f>
        <v/>
      </c>
      <c r="T470" s="17"/>
      <c r="U470" s="17"/>
      <c r="V470" s="17"/>
      <c r="W470" s="17"/>
      <c r="X470" s="17"/>
      <c r="Y470" s="17"/>
    </row>
    <row r="471" customFormat="false" ht="15" hidden="false" customHeight="fals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6" t="str">
        <f aca="false">IF(K471="","",IF(AND(K471&lt;=45,OR(J471="Já existe verba aprovada para esse tema",J471="Entra no orçamento do próximo ciclo")),"Alta",IF(OR(K471&lt;=45,J471="Já existe verba aprovada para esse tema"),"Média","Baixa")))</f>
        <v/>
      </c>
      <c r="T471" s="17"/>
      <c r="U471" s="17"/>
      <c r="V471" s="17"/>
      <c r="W471" s="17"/>
      <c r="X471" s="17"/>
      <c r="Y471" s="17"/>
    </row>
    <row r="472" customFormat="false" ht="15" hidden="false" customHeight="fals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6" t="str">
        <f aca="false">IF(K472="","",IF(AND(K472&lt;=45,OR(J472="Já existe verba aprovada para esse tema",J472="Entra no orçamento do próximo ciclo")),"Alta",IF(OR(K472&lt;=45,J472="Já existe verba aprovada para esse tema"),"Média","Baixa")))</f>
        <v/>
      </c>
      <c r="T472" s="17"/>
      <c r="U472" s="17"/>
      <c r="V472" s="17"/>
      <c r="W472" s="17"/>
      <c r="X472" s="17"/>
      <c r="Y472" s="17"/>
    </row>
    <row r="473" customFormat="false" ht="15" hidden="false" customHeight="fals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6" t="str">
        <f aca="false">IF(K473="","",IF(AND(K473&lt;=45,OR(J473="Já existe verba aprovada para esse tema",J473="Entra no orçamento do próximo ciclo")),"Alta",IF(OR(K473&lt;=45,J473="Já existe verba aprovada para esse tema"),"Média","Baixa")))</f>
        <v/>
      </c>
      <c r="T473" s="17"/>
      <c r="U473" s="17"/>
      <c r="V473" s="17"/>
      <c r="W473" s="17"/>
      <c r="X473" s="17"/>
      <c r="Y473" s="17"/>
    </row>
    <row r="474" customFormat="false" ht="15" hidden="false" customHeight="fals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6" t="str">
        <f aca="false">IF(K474="","",IF(AND(K474&lt;=45,OR(J474="Já existe verba aprovada para esse tema",J474="Entra no orçamento do próximo ciclo")),"Alta",IF(OR(K474&lt;=45,J474="Já existe verba aprovada para esse tema"),"Média","Baixa")))</f>
        <v/>
      </c>
      <c r="T474" s="17"/>
      <c r="U474" s="17"/>
      <c r="V474" s="17"/>
      <c r="W474" s="17"/>
      <c r="X474" s="17"/>
      <c r="Y474" s="17"/>
    </row>
    <row r="475" customFormat="false" ht="15" hidden="false" customHeight="fals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6" t="str">
        <f aca="false">IF(K475="","",IF(AND(K475&lt;=45,OR(J475="Já existe verba aprovada para esse tema",J475="Entra no orçamento do próximo ciclo")),"Alta",IF(OR(K475&lt;=45,J475="Já existe verba aprovada para esse tema"),"Média","Baixa")))</f>
        <v/>
      </c>
      <c r="T475" s="17"/>
      <c r="U475" s="17"/>
      <c r="V475" s="17"/>
      <c r="W475" s="17"/>
      <c r="X475" s="17"/>
      <c r="Y475" s="17"/>
    </row>
    <row r="476" customFormat="false" ht="15" hidden="false" customHeight="fals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6" t="str">
        <f aca="false">IF(K476="","",IF(AND(K476&lt;=45,OR(J476="Já existe verba aprovada para esse tema",J476="Entra no orçamento do próximo ciclo")),"Alta",IF(OR(K476&lt;=45,J476="Já existe verba aprovada para esse tema"),"Média","Baixa")))</f>
        <v/>
      </c>
      <c r="T476" s="17"/>
      <c r="U476" s="17"/>
      <c r="V476" s="17"/>
      <c r="W476" s="17"/>
      <c r="X476" s="17"/>
      <c r="Y476" s="17"/>
    </row>
    <row r="477" customFormat="false" ht="15" hidden="false" customHeight="fals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6" t="str">
        <f aca="false">IF(K477="","",IF(AND(K477&lt;=45,OR(J477="Já existe verba aprovada para esse tema",J477="Entra no orçamento do próximo ciclo")),"Alta",IF(OR(K477&lt;=45,J477="Já existe verba aprovada para esse tema"),"Média","Baixa")))</f>
        <v/>
      </c>
      <c r="T477" s="17"/>
      <c r="U477" s="17"/>
      <c r="V477" s="17"/>
      <c r="W477" s="17"/>
      <c r="X477" s="17"/>
      <c r="Y477" s="17"/>
    </row>
    <row r="478" customFormat="false" ht="15" hidden="false" customHeight="fals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6" t="str">
        <f aca="false">IF(K478="","",IF(AND(K478&lt;=45,OR(J478="Já existe verba aprovada para esse tema",J478="Entra no orçamento do próximo ciclo")),"Alta",IF(OR(K478&lt;=45,J478="Já existe verba aprovada para esse tema"),"Média","Baixa")))</f>
        <v/>
      </c>
      <c r="T478" s="17"/>
      <c r="U478" s="17"/>
      <c r="V478" s="17"/>
      <c r="W478" s="17"/>
      <c r="X478" s="17"/>
      <c r="Y478" s="17"/>
    </row>
    <row r="479" customFormat="false" ht="15" hidden="false" customHeight="fals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6" t="str">
        <f aca="false">IF(K479="","",IF(AND(K479&lt;=45,OR(J479="Já existe verba aprovada para esse tema",J479="Entra no orçamento do próximo ciclo")),"Alta",IF(OR(K479&lt;=45,J479="Já existe verba aprovada para esse tema"),"Média","Baixa")))</f>
        <v/>
      </c>
      <c r="T479" s="17"/>
      <c r="U479" s="17"/>
      <c r="V479" s="17"/>
      <c r="W479" s="17"/>
      <c r="X479" s="17"/>
      <c r="Y479" s="17"/>
    </row>
    <row r="480" customFormat="false" ht="15" hidden="false" customHeight="fals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6" t="str">
        <f aca="false">IF(K480="","",IF(AND(K480&lt;=45,OR(J480="Já existe verba aprovada para esse tema",J480="Entra no orçamento do próximo ciclo")),"Alta",IF(OR(K480&lt;=45,J480="Já existe verba aprovada para esse tema"),"Média","Baixa")))</f>
        <v/>
      </c>
      <c r="T480" s="17"/>
      <c r="U480" s="17"/>
      <c r="V480" s="17"/>
      <c r="W480" s="17"/>
      <c r="X480" s="17"/>
      <c r="Y480" s="17"/>
    </row>
    <row r="481" customFormat="false" ht="15" hidden="false" customHeight="fals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6" t="str">
        <f aca="false">IF(K481="","",IF(AND(K481&lt;=45,OR(J481="Já existe verba aprovada para esse tema",J481="Entra no orçamento do próximo ciclo")),"Alta",IF(OR(K481&lt;=45,J481="Já existe verba aprovada para esse tema"),"Média","Baixa")))</f>
        <v/>
      </c>
      <c r="T481" s="17"/>
      <c r="U481" s="17"/>
      <c r="V481" s="17"/>
      <c r="W481" s="17"/>
      <c r="X481" s="17"/>
      <c r="Y481" s="17"/>
    </row>
    <row r="482" customFormat="false" ht="15" hidden="false" customHeight="fals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6" t="str">
        <f aca="false">IF(K482="","",IF(AND(K482&lt;=45,OR(J482="Já existe verba aprovada para esse tema",J482="Entra no orçamento do próximo ciclo")),"Alta",IF(OR(K482&lt;=45,J482="Já existe verba aprovada para esse tema"),"Média","Baixa")))</f>
        <v/>
      </c>
      <c r="T482" s="17"/>
      <c r="U482" s="17"/>
      <c r="V482" s="17"/>
      <c r="W482" s="17"/>
      <c r="X482" s="17"/>
      <c r="Y482" s="17"/>
    </row>
    <row r="483" customFormat="false" ht="15" hidden="false" customHeight="fals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6" t="str">
        <f aca="false">IF(K483="","",IF(AND(K483&lt;=45,OR(J483="Já existe verba aprovada para esse tema",J483="Entra no orçamento do próximo ciclo")),"Alta",IF(OR(K483&lt;=45,J483="Já existe verba aprovada para esse tema"),"Média","Baixa")))</f>
        <v/>
      </c>
      <c r="T483" s="17"/>
      <c r="U483" s="17"/>
      <c r="V483" s="17"/>
      <c r="W483" s="17"/>
      <c r="X483" s="17"/>
      <c r="Y483" s="17"/>
    </row>
    <row r="484" customFormat="false" ht="15" hidden="false" customHeight="fals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6" t="str">
        <f aca="false">IF(K484="","",IF(AND(K484&lt;=45,OR(J484="Já existe verba aprovada para esse tema",J484="Entra no orçamento do próximo ciclo")),"Alta",IF(OR(K484&lt;=45,J484="Já existe verba aprovada para esse tema"),"Média","Baixa")))</f>
        <v/>
      </c>
      <c r="T484" s="17"/>
      <c r="U484" s="17"/>
      <c r="V484" s="17"/>
      <c r="W484" s="17"/>
      <c r="X484" s="17"/>
      <c r="Y484" s="17"/>
    </row>
    <row r="485" customFormat="false" ht="15" hidden="false" customHeight="fals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6" t="str">
        <f aca="false">IF(K485="","",IF(AND(K485&lt;=45,OR(J485="Já existe verba aprovada para esse tema",J485="Entra no orçamento do próximo ciclo")),"Alta",IF(OR(K485&lt;=45,J485="Já existe verba aprovada para esse tema"),"Média","Baixa")))</f>
        <v/>
      </c>
      <c r="T485" s="17"/>
      <c r="U485" s="17"/>
      <c r="V485" s="17"/>
      <c r="W485" s="17"/>
      <c r="X485" s="17"/>
      <c r="Y485" s="17"/>
    </row>
    <row r="486" customFormat="false" ht="15" hidden="false" customHeight="fals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6" t="str">
        <f aca="false">IF(K486="","",IF(AND(K486&lt;=45,OR(J486="Já existe verba aprovada para esse tema",J486="Entra no orçamento do próximo ciclo")),"Alta",IF(OR(K486&lt;=45,J486="Já existe verba aprovada para esse tema"),"Média","Baixa")))</f>
        <v/>
      </c>
      <c r="T486" s="17"/>
      <c r="U486" s="17"/>
      <c r="V486" s="17"/>
      <c r="W486" s="17"/>
      <c r="X486" s="17"/>
      <c r="Y486" s="17"/>
    </row>
    <row r="487" customFormat="false" ht="15" hidden="false" customHeight="fals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6" t="str">
        <f aca="false">IF(K487="","",IF(AND(K487&lt;=45,OR(J487="Já existe verba aprovada para esse tema",J487="Entra no orçamento do próximo ciclo")),"Alta",IF(OR(K487&lt;=45,J487="Já existe verba aprovada para esse tema"),"Média","Baixa")))</f>
        <v/>
      </c>
      <c r="T487" s="17"/>
      <c r="U487" s="17"/>
      <c r="V487" s="17"/>
      <c r="W487" s="17"/>
      <c r="X487" s="17"/>
      <c r="Y487" s="17"/>
    </row>
    <row r="488" customFormat="false" ht="15" hidden="false" customHeight="fals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6" t="str">
        <f aca="false">IF(K488="","",IF(AND(K488&lt;=45,OR(J488="Já existe verba aprovada para esse tema",J488="Entra no orçamento do próximo ciclo")),"Alta",IF(OR(K488&lt;=45,J488="Já existe verba aprovada para esse tema"),"Média","Baixa")))</f>
        <v/>
      </c>
      <c r="T488" s="17"/>
      <c r="U488" s="17"/>
      <c r="V488" s="17"/>
      <c r="W488" s="17"/>
      <c r="X488" s="17"/>
      <c r="Y488" s="17"/>
    </row>
    <row r="489" customFormat="false" ht="15" hidden="false" customHeight="fals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6" t="str">
        <f aca="false">IF(K489="","",IF(AND(K489&lt;=45,OR(J489="Já existe verba aprovada para esse tema",J489="Entra no orçamento do próximo ciclo")),"Alta",IF(OR(K489&lt;=45,J489="Já existe verba aprovada para esse tema"),"Média","Baixa")))</f>
        <v/>
      </c>
      <c r="T489" s="17"/>
      <c r="U489" s="17"/>
      <c r="V489" s="17"/>
      <c r="W489" s="17"/>
      <c r="X489" s="17"/>
      <c r="Y489" s="17"/>
    </row>
    <row r="490" customFormat="false" ht="15" hidden="false" customHeight="fals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6" t="str">
        <f aca="false">IF(K490="","",IF(AND(K490&lt;=45,OR(J490="Já existe verba aprovada para esse tema",J490="Entra no orçamento do próximo ciclo")),"Alta",IF(OR(K490&lt;=45,J490="Já existe verba aprovada para esse tema"),"Média","Baixa")))</f>
        <v/>
      </c>
      <c r="T490" s="17"/>
      <c r="U490" s="17"/>
      <c r="V490" s="17"/>
      <c r="W490" s="17"/>
      <c r="X490" s="17"/>
      <c r="Y490" s="17"/>
    </row>
    <row r="491" customFormat="false" ht="15" hidden="false" customHeight="fals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6" t="str">
        <f aca="false">IF(K491="","",IF(AND(K491&lt;=45,OR(J491="Já existe verba aprovada para esse tema",J491="Entra no orçamento do próximo ciclo")),"Alta",IF(OR(K491&lt;=45,J491="Já existe verba aprovada para esse tema"),"Média","Baixa")))</f>
        <v/>
      </c>
      <c r="T491" s="17"/>
      <c r="U491" s="17"/>
      <c r="V491" s="17"/>
      <c r="W491" s="17"/>
      <c r="X491" s="17"/>
      <c r="Y491" s="17"/>
    </row>
    <row r="492" customFormat="false" ht="15" hidden="false" customHeight="fals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6" t="str">
        <f aca="false">IF(K492="","",IF(AND(K492&lt;=45,OR(J492="Já existe verba aprovada para esse tema",J492="Entra no orçamento do próximo ciclo")),"Alta",IF(OR(K492&lt;=45,J492="Já existe verba aprovada para esse tema"),"Média","Baixa")))</f>
        <v/>
      </c>
      <c r="T492" s="17"/>
      <c r="U492" s="17"/>
      <c r="V492" s="17"/>
      <c r="W492" s="17"/>
      <c r="X492" s="17"/>
      <c r="Y492" s="17"/>
    </row>
    <row r="493" customFormat="false" ht="15" hidden="false" customHeight="fals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6" t="str">
        <f aca="false">IF(K493="","",IF(AND(K493&lt;=45,OR(J493="Já existe verba aprovada para esse tema",J493="Entra no orçamento do próximo ciclo")),"Alta",IF(OR(K493&lt;=45,J493="Já existe verba aprovada para esse tema"),"Média","Baixa")))</f>
        <v/>
      </c>
      <c r="T493" s="17"/>
      <c r="U493" s="17"/>
      <c r="V493" s="17"/>
      <c r="W493" s="17"/>
      <c r="X493" s="17"/>
      <c r="Y493" s="17"/>
    </row>
    <row r="494" customFormat="false" ht="15" hidden="false" customHeight="fals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6" t="str">
        <f aca="false">IF(K494="","",IF(AND(K494&lt;=45,OR(J494="Já existe verba aprovada para esse tema",J494="Entra no orçamento do próximo ciclo")),"Alta",IF(OR(K494&lt;=45,J494="Já existe verba aprovada para esse tema"),"Média","Baixa")))</f>
        <v/>
      </c>
      <c r="T494" s="17"/>
      <c r="U494" s="17"/>
      <c r="V494" s="17"/>
      <c r="W494" s="17"/>
      <c r="X494" s="17"/>
      <c r="Y494" s="17"/>
    </row>
    <row r="495" customFormat="false" ht="15" hidden="false" customHeight="fals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6" t="str">
        <f aca="false">IF(K495="","",IF(AND(K495&lt;=45,OR(J495="Já existe verba aprovada para esse tema",J495="Entra no orçamento do próximo ciclo")),"Alta",IF(OR(K495&lt;=45,J495="Já existe verba aprovada para esse tema"),"Média","Baixa")))</f>
        <v/>
      </c>
      <c r="T495" s="17"/>
      <c r="U495" s="17"/>
      <c r="V495" s="17"/>
      <c r="W495" s="17"/>
      <c r="X495" s="17"/>
      <c r="Y495" s="17"/>
    </row>
    <row r="496" customFormat="false" ht="15" hidden="false" customHeight="fals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6" t="str">
        <f aca="false">IF(K496="","",IF(AND(K496&lt;=45,OR(J496="Já existe verba aprovada para esse tema",J496="Entra no orçamento do próximo ciclo")),"Alta",IF(OR(K496&lt;=45,J496="Já existe verba aprovada para esse tema"),"Média","Baixa")))</f>
        <v/>
      </c>
      <c r="T496" s="17"/>
      <c r="U496" s="17"/>
      <c r="V496" s="17"/>
      <c r="W496" s="17"/>
      <c r="X496" s="17"/>
      <c r="Y496" s="17"/>
    </row>
    <row r="497" customFormat="false" ht="15" hidden="false" customHeight="fals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6" t="str">
        <f aca="false">IF(K497="","",IF(AND(K497&lt;=45,OR(J497="Já existe verba aprovada para esse tema",J497="Entra no orçamento do próximo ciclo")),"Alta",IF(OR(K497&lt;=45,J497="Já existe verba aprovada para esse tema"),"Média","Baixa")))</f>
        <v/>
      </c>
      <c r="T497" s="17"/>
      <c r="U497" s="17"/>
      <c r="V497" s="17"/>
      <c r="W497" s="17"/>
      <c r="X497" s="17"/>
      <c r="Y497" s="17"/>
    </row>
    <row r="498" customFormat="false" ht="15" hidden="false" customHeight="fals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6" t="str">
        <f aca="false">IF(K498="","",IF(AND(K498&lt;=45,OR(J498="Já existe verba aprovada para esse tema",J498="Entra no orçamento do próximo ciclo")),"Alta",IF(OR(K498&lt;=45,J498="Já existe verba aprovada para esse tema"),"Média","Baixa")))</f>
        <v/>
      </c>
      <c r="T498" s="17"/>
      <c r="U498" s="17"/>
      <c r="V498" s="17"/>
      <c r="W498" s="17"/>
      <c r="X498" s="17"/>
      <c r="Y498" s="17"/>
    </row>
    <row r="499" customFormat="false" ht="15" hidden="false" customHeight="fals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6" t="str">
        <f aca="false">IF(K499="","",IF(AND(K499&lt;=45,OR(J499="Já existe verba aprovada para esse tema",J499="Entra no orçamento do próximo ciclo")),"Alta",IF(OR(K499&lt;=45,J499="Já existe verba aprovada para esse tema"),"Média","Baixa")))</f>
        <v/>
      </c>
      <c r="T499" s="17"/>
      <c r="U499" s="17"/>
      <c r="V499" s="17"/>
      <c r="W499" s="17"/>
      <c r="X499" s="17"/>
      <c r="Y499" s="17"/>
    </row>
    <row r="500" customFormat="false" ht="15" hidden="false" customHeight="fals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6" t="str">
        <f aca="false">IF(K500="","",IF(AND(K500&lt;=45,OR(J500="Já existe verba aprovada para esse tema",J500="Entra no orçamento do próximo ciclo")),"Alta",IF(OR(K500&lt;=45,J500="Já existe verba aprovada para esse tema"),"Média","Baixa")))</f>
        <v/>
      </c>
      <c r="T500" s="17"/>
      <c r="U500" s="17"/>
      <c r="V500" s="17"/>
      <c r="W500" s="17"/>
      <c r="X500" s="17"/>
      <c r="Y500" s="17"/>
    </row>
    <row r="501" customFormat="false" ht="15" hidden="false" customHeight="fals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6" t="str">
        <f aca="false">IF(K501="","",IF(AND(K501&lt;=45,OR(J501="Já existe verba aprovada para esse tema",J501="Entra no orçamento do próximo ciclo")),"Alta",IF(OR(K501&lt;=45,J501="Já existe verba aprovada para esse tema"),"Média","Baixa")))</f>
        <v/>
      </c>
      <c r="T501" s="17"/>
      <c r="U501" s="17"/>
      <c r="V501" s="17"/>
      <c r="W501" s="17"/>
      <c r="X501" s="17"/>
      <c r="Y501" s="17"/>
    </row>
    <row r="502" customFormat="false" ht="15" hidden="false" customHeight="fals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6" t="str">
        <f aca="false">IF(K502="","",IF(AND(K502&lt;=45,OR(J502="Já existe verba aprovada para esse tema",J502="Entra no orçamento do próximo ciclo")),"Alta",IF(OR(K502&lt;=45,J502="Já existe verba aprovada para esse tema"),"Média","Baixa")))</f>
        <v/>
      </c>
      <c r="T502" s="17"/>
      <c r="U502" s="17"/>
      <c r="V502" s="17"/>
      <c r="W502" s="17"/>
      <c r="X502" s="17"/>
      <c r="Y502" s="17"/>
    </row>
    <row r="503" customFormat="false" ht="15" hidden="false" customHeight="fals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6" t="str">
        <f aca="false">IF(K503="","",IF(AND(K503&lt;=45,OR(J503="Já existe verba aprovada para esse tema",J503="Entra no orçamento do próximo ciclo")),"Alta",IF(OR(K503&lt;=45,J503="Já existe verba aprovada para esse tema"),"Média","Baixa")))</f>
        <v/>
      </c>
      <c r="T503" s="17"/>
      <c r="U503" s="17"/>
      <c r="V503" s="17"/>
      <c r="W503" s="17"/>
      <c r="X503" s="17"/>
      <c r="Y503" s="17"/>
    </row>
  </sheetData>
  <autoFilter ref="A3:Y503"/>
  <mergeCells count="2">
    <mergeCell ref="A1:Y1"/>
    <mergeCell ref="A2:Y2"/>
  </mergeCells>
  <conditionalFormatting sqref="K4:K503">
    <cfRule type="cellIs" priority="2" operator="lessThanOrEqual" aboveAverage="0" equalAverage="0" bottom="0" percent="0" rank="0" text="" dxfId="12">
      <formula>33</formula>
    </cfRule>
    <cfRule type="cellIs" priority="3" operator="between" aboveAverage="0" equalAverage="0" bottom="0" percent="0" rank="0" text="" dxfId="13">
      <formula>34</formula>
      <formula>66</formula>
    </cfRule>
    <cfRule type="cellIs" priority="4" operator="greaterThanOrEqual" aboveAverage="0" equalAverage="0" bottom="0" percent="0" rank="0" text="" dxfId="14">
      <formula>67</formula>
    </cfRule>
  </conditionalFormatting>
  <conditionalFormatting sqref="M4:Q503">
    <cfRule type="colorScale" priority="5">
      <colorScale>
        <cfvo type="num" val="0"/>
        <cfvo type="num" val="50"/>
        <cfvo type="num" val="100"/>
        <color rgb="FFF5C6C2"/>
        <color rgb="FFFDEFD3"/>
        <color rgb="FFCDE9D9"/>
      </colorScale>
    </cfRule>
  </conditionalFormatting>
  <conditionalFormatting sqref="S4:S503">
    <cfRule type="cellIs" priority="6" operator="equal" aboveAverage="0" equalAverage="0" bottom="0" percent="0" rank="0" text="" dxfId="15">
      <formula>"Alta"</formula>
    </cfRule>
    <cfRule type="cellIs" priority="7" operator="equal" aboveAverage="0" equalAverage="0" bottom="0" percent="0" rank="0" text="" dxfId="16">
      <formula>"Média"</formula>
    </cfRule>
  </conditionalFormatting>
  <dataValidations count="2">
    <dataValidation allowBlank="true" errorStyle="stop" operator="between" showDropDown="false" showErrorMessage="false" showInputMessage="false" sqref="X4:X503" type="list">
      <formula1>"Novo,Contatado,Reunião agendada,Qualificado,Descartado"</formula1>
      <formula2>0</formula2>
    </dataValidation>
    <dataValidation allowBlank="true" errorStyle="stop" operator="between" showDropDown="false" showErrorMessage="false" showInputMessage="false" sqref="V4:V503" type="list">
      <formula1>"Web,VR,VR 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7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34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5" min="13" style="0" width="13"/>
    <col collapsed="false" customWidth="true" hidden="false" outlineLevel="0" max="16" min="16" style="0" width="14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34"/>
    <col collapsed="false" customWidth="true" hidden="false" outlineLevel="0" max="22" min="22" style="0" width="16"/>
    <col collapsed="false" customWidth="true" hidden="false" outlineLevel="0" max="23" min="23" style="0" width="18"/>
    <col collapsed="false" customWidth="true" hidden="false" outlineLevel="0" max="24" min="24" style="0" width="40"/>
  </cols>
  <sheetData>
    <row r="1" customFormat="false" ht="25.5" hidden="false" customHeight="true" outlineLevel="0" collapsed="false">
      <c r="A1" s="18" t="s">
        <v>72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customFormat="false" ht="18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33.75" hidden="false" customHeight="true" outlineLevel="0" collapsed="false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28</v>
      </c>
      <c r="H3" s="13" t="s">
        <v>42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74</v>
      </c>
      <c r="N3" s="13" t="s">
        <v>75</v>
      </c>
      <c r="O3" s="13" t="s">
        <v>76</v>
      </c>
      <c r="P3" s="13" t="s">
        <v>50</v>
      </c>
      <c r="Q3" s="13" t="s">
        <v>52</v>
      </c>
      <c r="R3" s="13" t="s">
        <v>53</v>
      </c>
      <c r="S3" s="13" t="s">
        <v>54</v>
      </c>
      <c r="T3" s="13" t="s">
        <v>55</v>
      </c>
      <c r="U3" s="13" t="s">
        <v>56</v>
      </c>
      <c r="V3" s="13" t="s">
        <v>57</v>
      </c>
      <c r="W3" s="13" t="s">
        <v>58</v>
      </c>
      <c r="X3" s="13" t="s">
        <v>59</v>
      </c>
    </row>
    <row r="4" customFormat="false" ht="15" hidden="false" customHeight="false" outlineLevel="0" collapsed="false">
      <c r="A4" s="14" t="s">
        <v>77</v>
      </c>
      <c r="B4" s="14" t="s">
        <v>78</v>
      </c>
      <c r="C4" s="14" t="s">
        <v>79</v>
      </c>
      <c r="D4" s="14" t="s">
        <v>80</v>
      </c>
      <c r="E4" s="14" t="s">
        <v>81</v>
      </c>
      <c r="F4" s="14"/>
      <c r="G4" s="15" t="s">
        <v>29</v>
      </c>
      <c r="H4" s="14" t="s">
        <v>82</v>
      </c>
      <c r="I4" s="15" t="s">
        <v>83</v>
      </c>
      <c r="J4" s="15" t="s">
        <v>23</v>
      </c>
      <c r="K4" s="14" t="n">
        <v>55</v>
      </c>
      <c r="L4" s="14" t="s">
        <v>84</v>
      </c>
      <c r="M4" s="14" t="n">
        <v>67</v>
      </c>
      <c r="N4" s="14" t="n">
        <v>50</v>
      </c>
      <c r="O4" s="14" t="n">
        <v>33</v>
      </c>
      <c r="P4" s="14" t="n">
        <v>67</v>
      </c>
      <c r="Q4" s="14" t="s">
        <v>17</v>
      </c>
      <c r="R4" s="16" t="str">
        <f aca="false">IF(K4="","",IF(AND(K4&lt;=45,OR(J4="Já existe verba aprovada para esse tema",J4="Entra no orçamento do próximo ciclo")),"Alta",IF(OR(K4&lt;=45,J4="Já existe verba aprovada para esse tema"),"Média","Baixa")))</f>
        <v>Média</v>
      </c>
      <c r="S4" s="14" t="n">
        <v>142</v>
      </c>
      <c r="T4" s="14" t="s">
        <v>85</v>
      </c>
      <c r="U4" s="14" t="s">
        <v>86</v>
      </c>
      <c r="V4" s="14" t="s">
        <v>71</v>
      </c>
      <c r="W4" s="14"/>
      <c r="X4" s="14"/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6" t="str">
        <f aca="false">IF(K5="","",IF(AND(K5&lt;=45,OR(J5="Já existe verba aprovada para esse tema",J5="Entra no orçamento do próximo ciclo")),"Alta",IF(OR(K5&lt;=45,J5="Já existe verba aprovada para esse tema"),"Média","Baixa")))</f>
        <v/>
      </c>
      <c r="S5" s="17"/>
      <c r="T5" s="17"/>
      <c r="U5" s="17"/>
      <c r="V5" s="17"/>
      <c r="W5" s="17"/>
      <c r="X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6" t="str">
        <f aca="false">IF(K6="","",IF(AND(K6&lt;=45,OR(J6="Já existe verba aprovada para esse tema",J6="Entra no orçamento do próximo ciclo")),"Alta",IF(OR(K6&lt;=45,J6="Já existe verba aprovada para esse tema"),"Média","Baixa")))</f>
        <v/>
      </c>
      <c r="S6" s="17"/>
      <c r="T6" s="17"/>
      <c r="U6" s="17"/>
      <c r="V6" s="17"/>
      <c r="W6" s="17"/>
      <c r="X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6" t="str">
        <f aca="false">IF(K7="","",IF(AND(K7&lt;=45,OR(J7="Já existe verba aprovada para esse tema",J7="Entra no orçamento do próximo ciclo")),"Alta",IF(OR(K7&lt;=45,J7="Já existe verba aprovada para esse tema"),"Média","Baixa")))</f>
        <v/>
      </c>
      <c r="S7" s="17"/>
      <c r="T7" s="17"/>
      <c r="U7" s="17"/>
      <c r="V7" s="17"/>
      <c r="W7" s="17"/>
      <c r="X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6" t="str">
        <f aca="false">IF(K8="","",IF(AND(K8&lt;=45,OR(J8="Já existe verba aprovada para esse tema",J8="Entra no orçamento do próximo ciclo")),"Alta",IF(OR(K8&lt;=45,J8="Já existe verba aprovada para esse tema"),"Média","Baixa")))</f>
        <v/>
      </c>
      <c r="S8" s="17"/>
      <c r="T8" s="17"/>
      <c r="U8" s="17"/>
      <c r="V8" s="17"/>
      <c r="W8" s="17"/>
      <c r="X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6" t="str">
        <f aca="false">IF(K9="","",IF(AND(K9&lt;=45,OR(J9="Já existe verba aprovada para esse tema",J9="Entra no orçamento do próximo ciclo")),"Alta",IF(OR(K9&lt;=45,J9="Já existe verba aprovada para esse tema"),"Média","Baixa")))</f>
        <v/>
      </c>
      <c r="S9" s="17"/>
      <c r="T9" s="17"/>
      <c r="U9" s="17"/>
      <c r="V9" s="17"/>
      <c r="W9" s="17"/>
      <c r="X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 t="str">
        <f aca="false">IF(K10="","",IF(AND(K10&lt;=45,OR(J10="Já existe verba aprovada para esse tema",J10="Entra no orçamento do próximo ciclo")),"Alta",IF(OR(K10&lt;=45,J10="Já existe verba aprovada para esse tema"),"Média","Baixa")))</f>
        <v/>
      </c>
      <c r="S10" s="17"/>
      <c r="T10" s="17"/>
      <c r="U10" s="17"/>
      <c r="V10" s="17"/>
      <c r="W10" s="17"/>
      <c r="X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6" t="str">
        <f aca="false">IF(K11="","",IF(AND(K11&lt;=45,OR(J11="Já existe verba aprovada para esse tema",J11="Entra no orçamento do próximo ciclo")),"Alta",IF(OR(K11&lt;=45,J11="Já existe verba aprovada para esse tema"),"Média","Baixa")))</f>
        <v/>
      </c>
      <c r="S11" s="17"/>
      <c r="T11" s="17"/>
      <c r="U11" s="17"/>
      <c r="V11" s="17"/>
      <c r="W11" s="17"/>
      <c r="X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6" t="str">
        <f aca="false">IF(K12="","",IF(AND(K12&lt;=45,OR(J12="Já existe verba aprovada para esse tema",J12="Entra no orçamento do próximo ciclo")),"Alta",IF(OR(K12&lt;=45,J12="Já existe verba aprovada para esse tema"),"Média","Baixa")))</f>
        <v/>
      </c>
      <c r="S12" s="17"/>
      <c r="T12" s="17"/>
      <c r="U12" s="17"/>
      <c r="V12" s="17"/>
      <c r="W12" s="17"/>
      <c r="X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6" t="str">
        <f aca="false">IF(K13="","",IF(AND(K13&lt;=45,OR(J13="Já existe verba aprovada para esse tema",J13="Entra no orçamento do próximo ciclo")),"Alta",IF(OR(K13&lt;=45,J13="Já existe verba aprovada para esse tema"),"Média","Baixa")))</f>
        <v/>
      </c>
      <c r="S13" s="17"/>
      <c r="T13" s="17"/>
      <c r="U13" s="17"/>
      <c r="V13" s="17"/>
      <c r="W13" s="17"/>
      <c r="X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6" t="str">
        <f aca="false">IF(K14="","",IF(AND(K14&lt;=45,OR(J14="Já existe verba aprovada para esse tema",J14="Entra no orçamento do próximo ciclo")),"Alta",IF(OR(K14&lt;=45,J14="Já existe verba aprovada para esse tema"),"Média","Baixa")))</f>
        <v/>
      </c>
      <c r="S14" s="17"/>
      <c r="T14" s="17"/>
      <c r="U14" s="17"/>
      <c r="V14" s="17"/>
      <c r="W14" s="17"/>
      <c r="X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6" t="str">
        <f aca="false">IF(K15="","",IF(AND(K15&lt;=45,OR(J15="Já existe verba aprovada para esse tema",J15="Entra no orçamento do próximo ciclo")),"Alta",IF(OR(K15&lt;=45,J15="Já existe verba aprovada para esse tema"),"Média","Baixa")))</f>
        <v/>
      </c>
      <c r="S15" s="17"/>
      <c r="T15" s="17"/>
      <c r="U15" s="17"/>
      <c r="V15" s="17"/>
      <c r="W15" s="17"/>
      <c r="X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6" t="str">
        <f aca="false">IF(K16="","",IF(AND(K16&lt;=45,OR(J16="Já existe verba aprovada para esse tema",J16="Entra no orçamento do próximo ciclo")),"Alta",IF(OR(K16&lt;=45,J16="Já existe verba aprovada para esse tema"),"Média","Baixa")))</f>
        <v/>
      </c>
      <c r="S16" s="17"/>
      <c r="T16" s="17"/>
      <c r="U16" s="17"/>
      <c r="V16" s="17"/>
      <c r="W16" s="17"/>
      <c r="X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6" t="str">
        <f aca="false">IF(K17="","",IF(AND(K17&lt;=45,OR(J17="Já existe verba aprovada para esse tema",J17="Entra no orçamento do próximo ciclo")),"Alta",IF(OR(K17&lt;=45,J17="Já existe verba aprovada para esse tema"),"Média","Baixa")))</f>
        <v/>
      </c>
      <c r="S17" s="17"/>
      <c r="T17" s="17"/>
      <c r="U17" s="17"/>
      <c r="V17" s="17"/>
      <c r="W17" s="17"/>
      <c r="X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 t="str">
        <f aca="false">IF(K18="","",IF(AND(K18&lt;=45,OR(J18="Já existe verba aprovada para esse tema",J18="Entra no orçamento do próximo ciclo")),"Alta",IF(OR(K18&lt;=45,J18="Já existe verba aprovada para esse tema"),"Média","Baixa")))</f>
        <v/>
      </c>
      <c r="S18" s="17"/>
      <c r="T18" s="17"/>
      <c r="U18" s="17"/>
      <c r="V18" s="17"/>
      <c r="W18" s="17"/>
      <c r="X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6" t="str">
        <f aca="false">IF(K19="","",IF(AND(K19&lt;=45,OR(J19="Já existe verba aprovada para esse tema",J19="Entra no orçamento do próximo ciclo")),"Alta",IF(OR(K19&lt;=45,J19="Já existe verba aprovada para esse tema"),"Média","Baixa")))</f>
        <v/>
      </c>
      <c r="S19" s="17"/>
      <c r="T19" s="17"/>
      <c r="U19" s="17"/>
      <c r="V19" s="17"/>
      <c r="W19" s="17"/>
      <c r="X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6" t="str">
        <f aca="false">IF(K20="","",IF(AND(K20&lt;=45,OR(J20="Já existe verba aprovada para esse tema",J20="Entra no orçamento do próximo ciclo")),"Alta",IF(OR(K20&lt;=45,J20="Já existe verba aprovada para esse tema"),"Média","Baixa")))</f>
        <v/>
      </c>
      <c r="S20" s="17"/>
      <c r="T20" s="17"/>
      <c r="U20" s="17"/>
      <c r="V20" s="17"/>
      <c r="W20" s="17"/>
      <c r="X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 t="str">
        <f aca="false">IF(K21="","",IF(AND(K21&lt;=45,OR(J21="Já existe verba aprovada para esse tema",J21="Entra no orçamento do próximo ciclo")),"Alta",IF(OR(K21&lt;=45,J21="Já existe verba aprovada para esse tema"),"Média","Baixa")))</f>
        <v/>
      </c>
      <c r="S21" s="17"/>
      <c r="T21" s="17"/>
      <c r="U21" s="17"/>
      <c r="V21" s="17"/>
      <c r="W21" s="17"/>
      <c r="X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 t="str">
        <f aca="false">IF(K22="","",IF(AND(K22&lt;=45,OR(J22="Já existe verba aprovada para esse tema",J22="Entra no orçamento do próximo ciclo")),"Alta",IF(OR(K22&lt;=45,J22="Já existe verba aprovada para esse tema"),"Média","Baixa")))</f>
        <v/>
      </c>
      <c r="S22" s="17"/>
      <c r="T22" s="17"/>
      <c r="U22" s="17"/>
      <c r="V22" s="17"/>
      <c r="W22" s="17"/>
      <c r="X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 t="str">
        <f aca="false">IF(K23="","",IF(AND(K23&lt;=45,OR(J23="Já existe verba aprovada para esse tema",J23="Entra no orçamento do próximo ciclo")),"Alta",IF(OR(K23&lt;=45,J23="Já existe verba aprovada para esse tema"),"Média","Baixa")))</f>
        <v/>
      </c>
      <c r="S23" s="17"/>
      <c r="T23" s="17"/>
      <c r="U23" s="17"/>
      <c r="V23" s="17"/>
      <c r="W23" s="17"/>
      <c r="X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 t="str">
        <f aca="false">IF(K24="","",IF(AND(K24&lt;=45,OR(J24="Já existe verba aprovada para esse tema",J24="Entra no orçamento do próximo ciclo")),"Alta",IF(OR(K24&lt;=45,J24="Já existe verba aprovada para esse tema"),"Média","Baixa")))</f>
        <v/>
      </c>
      <c r="S24" s="17"/>
      <c r="T24" s="17"/>
      <c r="U24" s="17"/>
      <c r="V24" s="17"/>
      <c r="W24" s="17"/>
      <c r="X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 t="str">
        <f aca="false">IF(K25="","",IF(AND(K25&lt;=45,OR(J25="Já existe verba aprovada para esse tema",J25="Entra no orçamento do próximo ciclo")),"Alta",IF(OR(K25&lt;=45,J25="Já existe verba aprovada para esse tema"),"Média","Baixa")))</f>
        <v/>
      </c>
      <c r="S25" s="17"/>
      <c r="T25" s="17"/>
      <c r="U25" s="17"/>
      <c r="V25" s="17"/>
      <c r="W25" s="17"/>
      <c r="X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 t="str">
        <f aca="false">IF(K26="","",IF(AND(K26&lt;=45,OR(J26="Já existe verba aprovada para esse tema",J26="Entra no orçamento do próximo ciclo")),"Alta",IF(OR(K26&lt;=45,J26="Já existe verba aprovada para esse tema"),"Média","Baixa")))</f>
        <v/>
      </c>
      <c r="S26" s="17"/>
      <c r="T26" s="17"/>
      <c r="U26" s="17"/>
      <c r="V26" s="17"/>
      <c r="W26" s="17"/>
      <c r="X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 t="str">
        <f aca="false">IF(K27="","",IF(AND(K27&lt;=45,OR(J27="Já existe verba aprovada para esse tema",J27="Entra no orçamento do próximo ciclo")),"Alta",IF(OR(K27&lt;=45,J27="Já existe verba aprovada para esse tema"),"Média","Baixa")))</f>
        <v/>
      </c>
      <c r="S27" s="17"/>
      <c r="T27" s="17"/>
      <c r="U27" s="17"/>
      <c r="V27" s="17"/>
      <c r="W27" s="17"/>
      <c r="X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 t="str">
        <f aca="false">IF(K28="","",IF(AND(K28&lt;=45,OR(J28="Já existe verba aprovada para esse tema",J28="Entra no orçamento do próximo ciclo")),"Alta",IF(OR(K28&lt;=45,J28="Já existe verba aprovada para esse tema"),"Média","Baixa")))</f>
        <v/>
      </c>
      <c r="S28" s="17"/>
      <c r="T28" s="17"/>
      <c r="U28" s="17"/>
      <c r="V28" s="17"/>
      <c r="W28" s="17"/>
      <c r="X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 t="str">
        <f aca="false">IF(K29="","",IF(AND(K29&lt;=45,OR(J29="Já existe verba aprovada para esse tema",J29="Entra no orçamento do próximo ciclo")),"Alta",IF(OR(K29&lt;=45,J29="Já existe verba aprovada para esse tema"),"Média","Baixa")))</f>
        <v/>
      </c>
      <c r="S29" s="17"/>
      <c r="T29" s="17"/>
      <c r="U29" s="17"/>
      <c r="V29" s="17"/>
      <c r="W29" s="17"/>
      <c r="X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 t="str">
        <f aca="false">IF(K30="","",IF(AND(K30&lt;=45,OR(J30="Já existe verba aprovada para esse tema",J30="Entra no orçamento do próximo ciclo")),"Alta",IF(OR(K30&lt;=45,J30="Já existe verba aprovada para esse tema"),"Média","Baixa")))</f>
        <v/>
      </c>
      <c r="S30" s="17"/>
      <c r="T30" s="17"/>
      <c r="U30" s="17"/>
      <c r="V30" s="17"/>
      <c r="W30" s="17"/>
      <c r="X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 t="str">
        <f aca="false">IF(K31="","",IF(AND(K31&lt;=45,OR(J31="Já existe verba aprovada para esse tema",J31="Entra no orçamento do próximo ciclo")),"Alta",IF(OR(K31&lt;=45,J31="Já existe verba aprovada para esse tema"),"Média","Baixa")))</f>
        <v/>
      </c>
      <c r="S31" s="17"/>
      <c r="T31" s="17"/>
      <c r="U31" s="17"/>
      <c r="V31" s="17"/>
      <c r="W31" s="17"/>
      <c r="X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 t="str">
        <f aca="false">IF(K32="","",IF(AND(K32&lt;=45,OR(J32="Já existe verba aprovada para esse tema",J32="Entra no orçamento do próximo ciclo")),"Alta",IF(OR(K32&lt;=45,J32="Já existe verba aprovada para esse tema"),"Média","Baixa")))</f>
        <v/>
      </c>
      <c r="S32" s="17"/>
      <c r="T32" s="17"/>
      <c r="U32" s="17"/>
      <c r="V32" s="17"/>
      <c r="W32" s="17"/>
      <c r="X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 t="str">
        <f aca="false">IF(K33="","",IF(AND(K33&lt;=45,OR(J33="Já existe verba aprovada para esse tema",J33="Entra no orçamento do próximo ciclo")),"Alta",IF(OR(K33&lt;=45,J33="Já existe verba aprovada para esse tema"),"Média","Baixa")))</f>
        <v/>
      </c>
      <c r="S33" s="17"/>
      <c r="T33" s="17"/>
      <c r="U33" s="17"/>
      <c r="V33" s="17"/>
      <c r="W33" s="17"/>
      <c r="X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 t="str">
        <f aca="false">IF(K34="","",IF(AND(K34&lt;=45,OR(J34="Já existe verba aprovada para esse tema",J34="Entra no orçamento do próximo ciclo")),"Alta",IF(OR(K34&lt;=45,J34="Já existe verba aprovada para esse tema"),"Média","Baixa")))</f>
        <v/>
      </c>
      <c r="S34" s="17"/>
      <c r="T34" s="17"/>
      <c r="U34" s="17"/>
      <c r="V34" s="17"/>
      <c r="W34" s="17"/>
      <c r="X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 t="str">
        <f aca="false">IF(K35="","",IF(AND(K35&lt;=45,OR(J35="Já existe verba aprovada para esse tema",J35="Entra no orçamento do próximo ciclo")),"Alta",IF(OR(K35&lt;=45,J35="Já existe verba aprovada para esse tema"),"Média","Baixa")))</f>
        <v/>
      </c>
      <c r="S35" s="17"/>
      <c r="T35" s="17"/>
      <c r="U35" s="17"/>
      <c r="V35" s="17"/>
      <c r="W35" s="17"/>
      <c r="X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 t="str">
        <f aca="false">IF(K36="","",IF(AND(K36&lt;=45,OR(J36="Já existe verba aprovada para esse tema",J36="Entra no orçamento do próximo ciclo")),"Alta",IF(OR(K36&lt;=45,J36="Já existe verba aprovada para esse tema"),"Média","Baixa")))</f>
        <v/>
      </c>
      <c r="S36" s="17"/>
      <c r="T36" s="17"/>
      <c r="U36" s="17"/>
      <c r="V36" s="17"/>
      <c r="W36" s="17"/>
      <c r="X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6" t="str">
        <f aca="false">IF(K37="","",IF(AND(K37&lt;=45,OR(J37="Já existe verba aprovada para esse tema",J37="Entra no orçamento do próximo ciclo")),"Alta",IF(OR(K37&lt;=45,J37="Já existe verba aprovada para esse tema"),"Média","Baixa")))</f>
        <v/>
      </c>
      <c r="S37" s="17"/>
      <c r="T37" s="17"/>
      <c r="U37" s="17"/>
      <c r="V37" s="17"/>
      <c r="W37" s="17"/>
      <c r="X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6" t="str">
        <f aca="false">IF(K38="","",IF(AND(K38&lt;=45,OR(J38="Já existe verba aprovada para esse tema",J38="Entra no orçamento do próximo ciclo")),"Alta",IF(OR(K38&lt;=45,J38="Já existe verba aprovada para esse tema"),"Média","Baixa")))</f>
        <v/>
      </c>
      <c r="S38" s="17"/>
      <c r="T38" s="17"/>
      <c r="U38" s="17"/>
      <c r="V38" s="17"/>
      <c r="W38" s="17"/>
      <c r="X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6" t="str">
        <f aca="false">IF(K39="","",IF(AND(K39&lt;=45,OR(J39="Já existe verba aprovada para esse tema",J39="Entra no orçamento do próximo ciclo")),"Alta",IF(OR(K39&lt;=45,J39="Já existe verba aprovada para esse tema"),"Média","Baixa")))</f>
        <v/>
      </c>
      <c r="S39" s="17"/>
      <c r="T39" s="17"/>
      <c r="U39" s="17"/>
      <c r="V39" s="17"/>
      <c r="W39" s="17"/>
      <c r="X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6" t="str">
        <f aca="false">IF(K40="","",IF(AND(K40&lt;=45,OR(J40="Já existe verba aprovada para esse tema",J40="Entra no orçamento do próximo ciclo")),"Alta",IF(OR(K40&lt;=45,J40="Já existe verba aprovada para esse tema"),"Média","Baixa")))</f>
        <v/>
      </c>
      <c r="S40" s="17"/>
      <c r="T40" s="17"/>
      <c r="U40" s="17"/>
      <c r="V40" s="17"/>
      <c r="W40" s="17"/>
      <c r="X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6" t="str">
        <f aca="false">IF(K41="","",IF(AND(K41&lt;=45,OR(J41="Já existe verba aprovada para esse tema",J41="Entra no orçamento do próximo ciclo")),"Alta",IF(OR(K41&lt;=45,J41="Já existe verba aprovada para esse tema"),"Média","Baixa")))</f>
        <v/>
      </c>
      <c r="S41" s="17"/>
      <c r="T41" s="17"/>
      <c r="U41" s="17"/>
      <c r="V41" s="17"/>
      <c r="W41" s="17"/>
      <c r="X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 t="str">
        <f aca="false">IF(K42="","",IF(AND(K42&lt;=45,OR(J42="Já existe verba aprovada para esse tema",J42="Entra no orçamento do próximo ciclo")),"Alta",IF(OR(K42&lt;=45,J42="Já existe verba aprovada para esse tema"),"Média","Baixa")))</f>
        <v/>
      </c>
      <c r="S42" s="17"/>
      <c r="T42" s="17"/>
      <c r="U42" s="17"/>
      <c r="V42" s="17"/>
      <c r="W42" s="17"/>
      <c r="X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 t="str">
        <f aca="false">IF(K43="","",IF(AND(K43&lt;=45,OR(J43="Já existe verba aprovada para esse tema",J43="Entra no orçamento do próximo ciclo")),"Alta",IF(OR(K43&lt;=45,J43="Já existe verba aprovada para esse tema"),"Média","Baixa")))</f>
        <v/>
      </c>
      <c r="S43" s="17"/>
      <c r="T43" s="17"/>
      <c r="U43" s="17"/>
      <c r="V43" s="17"/>
      <c r="W43" s="17"/>
      <c r="X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6" t="str">
        <f aca="false">IF(K44="","",IF(AND(K44&lt;=45,OR(J44="Já existe verba aprovada para esse tema",J44="Entra no orçamento do próximo ciclo")),"Alta",IF(OR(K44&lt;=45,J44="Já existe verba aprovada para esse tema"),"Média","Baixa")))</f>
        <v/>
      </c>
      <c r="S44" s="17"/>
      <c r="T44" s="17"/>
      <c r="U44" s="17"/>
      <c r="V44" s="17"/>
      <c r="W44" s="17"/>
      <c r="X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6" t="str">
        <f aca="false">IF(K45="","",IF(AND(K45&lt;=45,OR(J45="Já existe verba aprovada para esse tema",J45="Entra no orçamento do próximo ciclo")),"Alta",IF(OR(K45&lt;=45,J45="Já existe verba aprovada para esse tema"),"Média","Baixa")))</f>
        <v/>
      </c>
      <c r="S45" s="17"/>
      <c r="T45" s="17"/>
      <c r="U45" s="17"/>
      <c r="V45" s="17"/>
      <c r="W45" s="17"/>
      <c r="X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6" t="str">
        <f aca="false">IF(K46="","",IF(AND(K46&lt;=45,OR(J46="Já existe verba aprovada para esse tema",J46="Entra no orçamento do próximo ciclo")),"Alta",IF(OR(K46&lt;=45,J46="Já existe verba aprovada para esse tema"),"Média","Baixa")))</f>
        <v/>
      </c>
      <c r="S46" s="17"/>
      <c r="T46" s="17"/>
      <c r="U46" s="17"/>
      <c r="V46" s="17"/>
      <c r="W46" s="17"/>
      <c r="X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" t="str">
        <f aca="false">IF(K47="","",IF(AND(K47&lt;=45,OR(J47="Já existe verba aprovada para esse tema",J47="Entra no orçamento do próximo ciclo")),"Alta",IF(OR(K47&lt;=45,J47="Já existe verba aprovada para esse tema"),"Média","Baixa")))</f>
        <v/>
      </c>
      <c r="S47" s="17"/>
      <c r="T47" s="17"/>
      <c r="U47" s="17"/>
      <c r="V47" s="17"/>
      <c r="W47" s="17"/>
      <c r="X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6" t="str">
        <f aca="false">IF(K48="","",IF(AND(K48&lt;=45,OR(J48="Já existe verba aprovada para esse tema",J48="Entra no orçamento do próximo ciclo")),"Alta",IF(OR(K48&lt;=45,J48="Já existe verba aprovada para esse tema"),"Média","Baixa")))</f>
        <v/>
      </c>
      <c r="S48" s="17"/>
      <c r="T48" s="17"/>
      <c r="U48" s="17"/>
      <c r="V48" s="17"/>
      <c r="W48" s="17"/>
      <c r="X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6" t="str">
        <f aca="false">IF(K49="","",IF(AND(K49&lt;=45,OR(J49="Já existe verba aprovada para esse tema",J49="Entra no orçamento do próximo ciclo")),"Alta",IF(OR(K49&lt;=45,J49="Já existe verba aprovada para esse tema"),"Média","Baixa")))</f>
        <v/>
      </c>
      <c r="S49" s="17"/>
      <c r="T49" s="17"/>
      <c r="U49" s="17"/>
      <c r="V49" s="17"/>
      <c r="W49" s="17"/>
      <c r="X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6" t="str">
        <f aca="false">IF(K50="","",IF(AND(K50&lt;=45,OR(J50="Já existe verba aprovada para esse tema",J50="Entra no orçamento do próximo ciclo")),"Alta",IF(OR(K50&lt;=45,J50="Já existe verba aprovada para esse tema"),"Média","Baixa")))</f>
        <v/>
      </c>
      <c r="S50" s="17"/>
      <c r="T50" s="17"/>
      <c r="U50" s="17"/>
      <c r="V50" s="17"/>
      <c r="W50" s="17"/>
      <c r="X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6" t="str">
        <f aca="false">IF(K51="","",IF(AND(K51&lt;=45,OR(J51="Já existe verba aprovada para esse tema",J51="Entra no orçamento do próximo ciclo")),"Alta",IF(OR(K51&lt;=45,J51="Já existe verba aprovada para esse tema"),"Média","Baixa")))</f>
        <v/>
      </c>
      <c r="S51" s="17"/>
      <c r="T51" s="17"/>
      <c r="U51" s="17"/>
      <c r="V51" s="17"/>
      <c r="W51" s="17"/>
      <c r="X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6" t="str">
        <f aca="false">IF(K52="","",IF(AND(K52&lt;=45,OR(J52="Já existe verba aprovada para esse tema",J52="Entra no orçamento do próximo ciclo")),"Alta",IF(OR(K52&lt;=45,J52="Já existe verba aprovada para esse tema"),"Média","Baixa")))</f>
        <v/>
      </c>
      <c r="S52" s="17"/>
      <c r="T52" s="17"/>
      <c r="U52" s="17"/>
      <c r="V52" s="17"/>
      <c r="W52" s="17"/>
      <c r="X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6" t="str">
        <f aca="false">IF(K53="","",IF(AND(K53&lt;=45,OR(J53="Já existe verba aprovada para esse tema",J53="Entra no orçamento do próximo ciclo")),"Alta",IF(OR(K53&lt;=45,J53="Já existe verba aprovada para esse tema"),"Média","Baixa")))</f>
        <v/>
      </c>
      <c r="S53" s="17"/>
      <c r="T53" s="17"/>
      <c r="U53" s="17"/>
      <c r="V53" s="17"/>
      <c r="W53" s="17"/>
      <c r="X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6" t="str">
        <f aca="false">IF(K54="","",IF(AND(K54&lt;=45,OR(J54="Já existe verba aprovada para esse tema",J54="Entra no orçamento do próximo ciclo")),"Alta",IF(OR(K54&lt;=45,J54="Já existe verba aprovada para esse tema"),"Média","Baixa")))</f>
        <v/>
      </c>
      <c r="S54" s="17"/>
      <c r="T54" s="17"/>
      <c r="U54" s="17"/>
      <c r="V54" s="17"/>
      <c r="W54" s="17"/>
      <c r="X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6" t="str">
        <f aca="false">IF(K55="","",IF(AND(K55&lt;=45,OR(J55="Já existe verba aprovada para esse tema",J55="Entra no orçamento do próximo ciclo")),"Alta",IF(OR(K55&lt;=45,J55="Já existe verba aprovada para esse tema"),"Média","Baixa")))</f>
        <v/>
      </c>
      <c r="S55" s="17"/>
      <c r="T55" s="17"/>
      <c r="U55" s="17"/>
      <c r="V55" s="17"/>
      <c r="W55" s="17"/>
      <c r="X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6" t="str">
        <f aca="false">IF(K56="","",IF(AND(K56&lt;=45,OR(J56="Já existe verba aprovada para esse tema",J56="Entra no orçamento do próximo ciclo")),"Alta",IF(OR(K56&lt;=45,J56="Já existe verba aprovada para esse tema"),"Média","Baixa")))</f>
        <v/>
      </c>
      <c r="S56" s="17"/>
      <c r="T56" s="17"/>
      <c r="U56" s="17"/>
      <c r="V56" s="17"/>
      <c r="W56" s="17"/>
      <c r="X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6" t="str">
        <f aca="false">IF(K57="","",IF(AND(K57&lt;=45,OR(J57="Já existe verba aprovada para esse tema",J57="Entra no orçamento do próximo ciclo")),"Alta",IF(OR(K57&lt;=45,J57="Já existe verba aprovada para esse tema"),"Média","Baixa")))</f>
        <v/>
      </c>
      <c r="S57" s="17"/>
      <c r="T57" s="17"/>
      <c r="U57" s="17"/>
      <c r="V57" s="17"/>
      <c r="W57" s="17"/>
      <c r="X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6" t="str">
        <f aca="false">IF(K58="","",IF(AND(K58&lt;=45,OR(J58="Já existe verba aprovada para esse tema",J58="Entra no orçamento do próximo ciclo")),"Alta",IF(OR(K58&lt;=45,J58="Já existe verba aprovada para esse tema"),"Média","Baixa")))</f>
        <v/>
      </c>
      <c r="S58" s="17"/>
      <c r="T58" s="17"/>
      <c r="U58" s="17"/>
      <c r="V58" s="17"/>
      <c r="W58" s="17"/>
      <c r="X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6" t="str">
        <f aca="false">IF(K59="","",IF(AND(K59&lt;=45,OR(J59="Já existe verba aprovada para esse tema",J59="Entra no orçamento do próximo ciclo")),"Alta",IF(OR(K59&lt;=45,J59="Já existe verba aprovada para esse tema"),"Média","Baixa")))</f>
        <v/>
      </c>
      <c r="S59" s="17"/>
      <c r="T59" s="17"/>
      <c r="U59" s="17"/>
      <c r="V59" s="17"/>
      <c r="W59" s="17"/>
      <c r="X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6" t="str">
        <f aca="false">IF(K60="","",IF(AND(K60&lt;=45,OR(J60="Já existe verba aprovada para esse tema",J60="Entra no orçamento do próximo ciclo")),"Alta",IF(OR(K60&lt;=45,J60="Já existe verba aprovada para esse tema"),"Média","Baixa")))</f>
        <v/>
      </c>
      <c r="S60" s="17"/>
      <c r="T60" s="17"/>
      <c r="U60" s="17"/>
      <c r="V60" s="17"/>
      <c r="W60" s="17"/>
      <c r="X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6" t="str">
        <f aca="false">IF(K61="","",IF(AND(K61&lt;=45,OR(J61="Já existe verba aprovada para esse tema",J61="Entra no orçamento do próximo ciclo")),"Alta",IF(OR(K61&lt;=45,J61="Já existe verba aprovada para esse tema"),"Média","Baixa")))</f>
        <v/>
      </c>
      <c r="S61" s="17"/>
      <c r="T61" s="17"/>
      <c r="U61" s="17"/>
      <c r="V61" s="17"/>
      <c r="W61" s="17"/>
      <c r="X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6" t="str">
        <f aca="false">IF(K62="","",IF(AND(K62&lt;=45,OR(J62="Já existe verba aprovada para esse tema",J62="Entra no orçamento do próximo ciclo")),"Alta",IF(OR(K62&lt;=45,J62="Já existe verba aprovada para esse tema"),"Média","Baixa")))</f>
        <v/>
      </c>
      <c r="S62" s="17"/>
      <c r="T62" s="17"/>
      <c r="U62" s="17"/>
      <c r="V62" s="17"/>
      <c r="W62" s="17"/>
      <c r="X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6" t="str">
        <f aca="false">IF(K63="","",IF(AND(K63&lt;=45,OR(J63="Já existe verba aprovada para esse tema",J63="Entra no orçamento do próximo ciclo")),"Alta",IF(OR(K63&lt;=45,J63="Já existe verba aprovada para esse tema"),"Média","Baixa")))</f>
        <v/>
      </c>
      <c r="S63" s="17"/>
      <c r="T63" s="17"/>
      <c r="U63" s="17"/>
      <c r="V63" s="17"/>
      <c r="W63" s="17"/>
      <c r="X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6" t="str">
        <f aca="false">IF(K64="","",IF(AND(K64&lt;=45,OR(J64="Já existe verba aprovada para esse tema",J64="Entra no orçamento do próximo ciclo")),"Alta",IF(OR(K64&lt;=45,J64="Já existe verba aprovada para esse tema"),"Média","Baixa")))</f>
        <v/>
      </c>
      <c r="S64" s="17"/>
      <c r="T64" s="17"/>
      <c r="U64" s="17"/>
      <c r="V64" s="17"/>
      <c r="W64" s="17"/>
      <c r="X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6" t="str">
        <f aca="false">IF(K65="","",IF(AND(K65&lt;=45,OR(J65="Já existe verba aprovada para esse tema",J65="Entra no orçamento do próximo ciclo")),"Alta",IF(OR(K65&lt;=45,J65="Já existe verba aprovada para esse tema"),"Média","Baixa")))</f>
        <v/>
      </c>
      <c r="S65" s="17"/>
      <c r="T65" s="17"/>
      <c r="U65" s="17"/>
      <c r="V65" s="17"/>
      <c r="W65" s="17"/>
      <c r="X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6" t="str">
        <f aca="false">IF(K66="","",IF(AND(K66&lt;=45,OR(J66="Já existe verba aprovada para esse tema",J66="Entra no orçamento do próximo ciclo")),"Alta",IF(OR(K66&lt;=45,J66="Já existe verba aprovada para esse tema"),"Média","Baixa")))</f>
        <v/>
      </c>
      <c r="S66" s="17"/>
      <c r="T66" s="17"/>
      <c r="U66" s="17"/>
      <c r="V66" s="17"/>
      <c r="W66" s="17"/>
      <c r="X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6" t="str">
        <f aca="false">IF(K67="","",IF(AND(K67&lt;=45,OR(J67="Já existe verba aprovada para esse tema",J67="Entra no orçamento do próximo ciclo")),"Alta",IF(OR(K67&lt;=45,J67="Já existe verba aprovada para esse tema"),"Média","Baixa")))</f>
        <v/>
      </c>
      <c r="S67" s="17"/>
      <c r="T67" s="17"/>
      <c r="U67" s="17"/>
      <c r="V67" s="17"/>
      <c r="W67" s="17"/>
      <c r="X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6" t="str">
        <f aca="false">IF(K68="","",IF(AND(K68&lt;=45,OR(J68="Já existe verba aprovada para esse tema",J68="Entra no orçamento do próximo ciclo")),"Alta",IF(OR(K68&lt;=45,J68="Já existe verba aprovada para esse tema"),"Média","Baixa")))</f>
        <v/>
      </c>
      <c r="S68" s="17"/>
      <c r="T68" s="17"/>
      <c r="U68" s="17"/>
      <c r="V68" s="17"/>
      <c r="W68" s="17"/>
      <c r="X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6" t="str">
        <f aca="false">IF(K69="","",IF(AND(K69&lt;=45,OR(J69="Já existe verba aprovada para esse tema",J69="Entra no orçamento do próximo ciclo")),"Alta",IF(OR(K69&lt;=45,J69="Já existe verba aprovada para esse tema"),"Média","Baixa")))</f>
        <v/>
      </c>
      <c r="S69" s="17"/>
      <c r="T69" s="17"/>
      <c r="U69" s="17"/>
      <c r="V69" s="17"/>
      <c r="W69" s="17"/>
      <c r="X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6" t="str">
        <f aca="false">IF(K70="","",IF(AND(K70&lt;=45,OR(J70="Já existe verba aprovada para esse tema",J70="Entra no orçamento do próximo ciclo")),"Alta",IF(OR(K70&lt;=45,J70="Já existe verba aprovada para esse tema"),"Média","Baixa")))</f>
        <v/>
      </c>
      <c r="S70" s="17"/>
      <c r="T70" s="17"/>
      <c r="U70" s="17"/>
      <c r="V70" s="17"/>
      <c r="W70" s="17"/>
      <c r="X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6" t="str">
        <f aca="false">IF(K71="","",IF(AND(K71&lt;=45,OR(J71="Já existe verba aprovada para esse tema",J71="Entra no orçamento do próximo ciclo")),"Alta",IF(OR(K71&lt;=45,J71="Já existe verba aprovada para esse tema"),"Média","Baixa")))</f>
        <v/>
      </c>
      <c r="S71" s="17"/>
      <c r="T71" s="17"/>
      <c r="U71" s="17"/>
      <c r="V71" s="17"/>
      <c r="W71" s="17"/>
      <c r="X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6" t="str">
        <f aca="false">IF(K72="","",IF(AND(K72&lt;=45,OR(J72="Já existe verba aprovada para esse tema",J72="Entra no orçamento do próximo ciclo")),"Alta",IF(OR(K72&lt;=45,J72="Já existe verba aprovada para esse tema"),"Média","Baixa")))</f>
        <v/>
      </c>
      <c r="S72" s="17"/>
      <c r="T72" s="17"/>
      <c r="U72" s="17"/>
      <c r="V72" s="17"/>
      <c r="W72" s="17"/>
      <c r="X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6" t="str">
        <f aca="false">IF(K73="","",IF(AND(K73&lt;=45,OR(J73="Já existe verba aprovada para esse tema",J73="Entra no orçamento do próximo ciclo")),"Alta",IF(OR(K73&lt;=45,J73="Já existe verba aprovada para esse tema"),"Média","Baixa")))</f>
        <v/>
      </c>
      <c r="S73" s="17"/>
      <c r="T73" s="17"/>
      <c r="U73" s="17"/>
      <c r="V73" s="17"/>
      <c r="W73" s="17"/>
      <c r="X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6" t="str">
        <f aca="false">IF(K74="","",IF(AND(K74&lt;=45,OR(J74="Já existe verba aprovada para esse tema",J74="Entra no orçamento do próximo ciclo")),"Alta",IF(OR(K74&lt;=45,J74="Já existe verba aprovada para esse tema"),"Média","Baixa")))</f>
        <v/>
      </c>
      <c r="S74" s="17"/>
      <c r="T74" s="17"/>
      <c r="U74" s="17"/>
      <c r="V74" s="17"/>
      <c r="W74" s="17"/>
      <c r="X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6" t="str">
        <f aca="false">IF(K75="","",IF(AND(K75&lt;=45,OR(J75="Já existe verba aprovada para esse tema",J75="Entra no orçamento do próximo ciclo")),"Alta",IF(OR(K75&lt;=45,J75="Já existe verba aprovada para esse tema"),"Média","Baixa")))</f>
        <v/>
      </c>
      <c r="S75" s="17"/>
      <c r="T75" s="17"/>
      <c r="U75" s="17"/>
      <c r="V75" s="17"/>
      <c r="W75" s="17"/>
      <c r="X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6" t="str">
        <f aca="false">IF(K76="","",IF(AND(K76&lt;=45,OR(J76="Já existe verba aprovada para esse tema",J76="Entra no orçamento do próximo ciclo")),"Alta",IF(OR(K76&lt;=45,J76="Já existe verba aprovada para esse tema"),"Média","Baixa")))</f>
        <v/>
      </c>
      <c r="S76" s="17"/>
      <c r="T76" s="17"/>
      <c r="U76" s="17"/>
      <c r="V76" s="17"/>
      <c r="W76" s="17"/>
      <c r="X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6" t="str">
        <f aca="false">IF(K77="","",IF(AND(K77&lt;=45,OR(J77="Já existe verba aprovada para esse tema",J77="Entra no orçamento do próximo ciclo")),"Alta",IF(OR(K77&lt;=45,J77="Já existe verba aprovada para esse tema"),"Média","Baixa")))</f>
        <v/>
      </c>
      <c r="S77" s="17"/>
      <c r="T77" s="17"/>
      <c r="U77" s="17"/>
      <c r="V77" s="17"/>
      <c r="W77" s="17"/>
      <c r="X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6" t="str">
        <f aca="false">IF(K78="","",IF(AND(K78&lt;=45,OR(J78="Já existe verba aprovada para esse tema",J78="Entra no orçamento do próximo ciclo")),"Alta",IF(OR(K78&lt;=45,J78="Já existe verba aprovada para esse tema"),"Média","Baixa")))</f>
        <v/>
      </c>
      <c r="S78" s="17"/>
      <c r="T78" s="17"/>
      <c r="U78" s="17"/>
      <c r="V78" s="17"/>
      <c r="W78" s="17"/>
      <c r="X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6" t="str">
        <f aca="false">IF(K79="","",IF(AND(K79&lt;=45,OR(J79="Já existe verba aprovada para esse tema",J79="Entra no orçamento do próximo ciclo")),"Alta",IF(OR(K79&lt;=45,J79="Já existe verba aprovada para esse tema"),"Média","Baixa")))</f>
        <v/>
      </c>
      <c r="S79" s="17"/>
      <c r="T79" s="17"/>
      <c r="U79" s="17"/>
      <c r="V79" s="17"/>
      <c r="W79" s="17"/>
      <c r="X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6" t="str">
        <f aca="false">IF(K80="","",IF(AND(K80&lt;=45,OR(J80="Já existe verba aprovada para esse tema",J80="Entra no orçamento do próximo ciclo")),"Alta",IF(OR(K80&lt;=45,J80="Já existe verba aprovada para esse tema"),"Média","Baixa")))</f>
        <v/>
      </c>
      <c r="S80" s="17"/>
      <c r="T80" s="17"/>
      <c r="U80" s="17"/>
      <c r="V80" s="17"/>
      <c r="W80" s="17"/>
      <c r="X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6" t="str">
        <f aca="false">IF(K81="","",IF(AND(K81&lt;=45,OR(J81="Já existe verba aprovada para esse tema",J81="Entra no orçamento do próximo ciclo")),"Alta",IF(OR(K81&lt;=45,J81="Já existe verba aprovada para esse tema"),"Média","Baixa")))</f>
        <v/>
      </c>
      <c r="S81" s="17"/>
      <c r="T81" s="17"/>
      <c r="U81" s="17"/>
      <c r="V81" s="17"/>
      <c r="W81" s="17"/>
      <c r="X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6" t="str">
        <f aca="false">IF(K82="","",IF(AND(K82&lt;=45,OR(J82="Já existe verba aprovada para esse tema",J82="Entra no orçamento do próximo ciclo")),"Alta",IF(OR(K82&lt;=45,J82="Já existe verba aprovada para esse tema"),"Média","Baixa")))</f>
        <v/>
      </c>
      <c r="S82" s="17"/>
      <c r="T82" s="17"/>
      <c r="U82" s="17"/>
      <c r="V82" s="17"/>
      <c r="W82" s="17"/>
      <c r="X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6" t="str">
        <f aca="false">IF(K83="","",IF(AND(K83&lt;=45,OR(J83="Já existe verba aprovada para esse tema",J83="Entra no orçamento do próximo ciclo")),"Alta",IF(OR(K83&lt;=45,J83="Já existe verba aprovada para esse tema"),"Média","Baixa")))</f>
        <v/>
      </c>
      <c r="S83" s="17"/>
      <c r="T83" s="17"/>
      <c r="U83" s="17"/>
      <c r="V83" s="17"/>
      <c r="W83" s="17"/>
      <c r="X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6" t="str">
        <f aca="false">IF(K84="","",IF(AND(K84&lt;=45,OR(J84="Já existe verba aprovada para esse tema",J84="Entra no orçamento do próximo ciclo")),"Alta",IF(OR(K84&lt;=45,J84="Já existe verba aprovada para esse tema"),"Média","Baixa")))</f>
        <v/>
      </c>
      <c r="S84" s="17"/>
      <c r="T84" s="17"/>
      <c r="U84" s="17"/>
      <c r="V84" s="17"/>
      <c r="W84" s="17"/>
      <c r="X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6" t="str">
        <f aca="false">IF(K85="","",IF(AND(K85&lt;=45,OR(J85="Já existe verba aprovada para esse tema",J85="Entra no orçamento do próximo ciclo")),"Alta",IF(OR(K85&lt;=45,J85="Já existe verba aprovada para esse tema"),"Média","Baixa")))</f>
        <v/>
      </c>
      <c r="S85" s="17"/>
      <c r="T85" s="17"/>
      <c r="U85" s="17"/>
      <c r="V85" s="17"/>
      <c r="W85" s="17"/>
      <c r="X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6" t="str">
        <f aca="false">IF(K86="","",IF(AND(K86&lt;=45,OR(J86="Já existe verba aprovada para esse tema",J86="Entra no orçamento do próximo ciclo")),"Alta",IF(OR(K86&lt;=45,J86="Já existe verba aprovada para esse tema"),"Média","Baixa")))</f>
        <v/>
      </c>
      <c r="S86" s="17"/>
      <c r="T86" s="17"/>
      <c r="U86" s="17"/>
      <c r="V86" s="17"/>
      <c r="W86" s="17"/>
      <c r="X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6" t="str">
        <f aca="false">IF(K87="","",IF(AND(K87&lt;=45,OR(J87="Já existe verba aprovada para esse tema",J87="Entra no orçamento do próximo ciclo")),"Alta",IF(OR(K87&lt;=45,J87="Já existe verba aprovada para esse tema"),"Média","Baixa")))</f>
        <v/>
      </c>
      <c r="S87" s="17"/>
      <c r="T87" s="17"/>
      <c r="U87" s="17"/>
      <c r="V87" s="17"/>
      <c r="W87" s="17"/>
      <c r="X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6" t="str">
        <f aca="false">IF(K88="","",IF(AND(K88&lt;=45,OR(J88="Já existe verba aprovada para esse tema",J88="Entra no orçamento do próximo ciclo")),"Alta",IF(OR(K88&lt;=45,J88="Já existe verba aprovada para esse tema"),"Média","Baixa")))</f>
        <v/>
      </c>
      <c r="S88" s="17"/>
      <c r="T88" s="17"/>
      <c r="U88" s="17"/>
      <c r="V88" s="17"/>
      <c r="W88" s="17"/>
      <c r="X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6" t="str">
        <f aca="false">IF(K89="","",IF(AND(K89&lt;=45,OR(J89="Já existe verba aprovada para esse tema",J89="Entra no orçamento do próximo ciclo")),"Alta",IF(OR(K89&lt;=45,J89="Já existe verba aprovada para esse tema"),"Média","Baixa")))</f>
        <v/>
      </c>
      <c r="S89" s="17"/>
      <c r="T89" s="17"/>
      <c r="U89" s="17"/>
      <c r="V89" s="17"/>
      <c r="W89" s="17"/>
      <c r="X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6" t="str">
        <f aca="false">IF(K90="","",IF(AND(K90&lt;=45,OR(J90="Já existe verba aprovada para esse tema",J90="Entra no orçamento do próximo ciclo")),"Alta",IF(OR(K90&lt;=45,J90="Já existe verba aprovada para esse tema"),"Média","Baixa")))</f>
        <v/>
      </c>
      <c r="S90" s="17"/>
      <c r="T90" s="17"/>
      <c r="U90" s="17"/>
      <c r="V90" s="17"/>
      <c r="W90" s="17"/>
      <c r="X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6" t="str">
        <f aca="false">IF(K91="","",IF(AND(K91&lt;=45,OR(J91="Já existe verba aprovada para esse tema",J91="Entra no orçamento do próximo ciclo")),"Alta",IF(OR(K91&lt;=45,J91="Já existe verba aprovada para esse tema"),"Média","Baixa")))</f>
        <v/>
      </c>
      <c r="S91" s="17"/>
      <c r="T91" s="17"/>
      <c r="U91" s="17"/>
      <c r="V91" s="17"/>
      <c r="W91" s="17"/>
      <c r="X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6" t="str">
        <f aca="false">IF(K92="","",IF(AND(K92&lt;=45,OR(J92="Já existe verba aprovada para esse tema",J92="Entra no orçamento do próximo ciclo")),"Alta",IF(OR(K92&lt;=45,J92="Já existe verba aprovada para esse tema"),"Média","Baixa")))</f>
        <v/>
      </c>
      <c r="S92" s="17"/>
      <c r="T92" s="17"/>
      <c r="U92" s="17"/>
      <c r="V92" s="17"/>
      <c r="W92" s="17"/>
      <c r="X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6" t="str">
        <f aca="false">IF(K93="","",IF(AND(K93&lt;=45,OR(J93="Já existe verba aprovada para esse tema",J93="Entra no orçamento do próximo ciclo")),"Alta",IF(OR(K93&lt;=45,J93="Já existe verba aprovada para esse tema"),"Média","Baixa")))</f>
        <v/>
      </c>
      <c r="S93" s="17"/>
      <c r="T93" s="17"/>
      <c r="U93" s="17"/>
      <c r="V93" s="17"/>
      <c r="W93" s="17"/>
      <c r="X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6" t="str">
        <f aca="false">IF(K94="","",IF(AND(K94&lt;=45,OR(J94="Já existe verba aprovada para esse tema",J94="Entra no orçamento do próximo ciclo")),"Alta",IF(OR(K94&lt;=45,J94="Já existe verba aprovada para esse tema"),"Média","Baixa")))</f>
        <v/>
      </c>
      <c r="S94" s="17"/>
      <c r="T94" s="17"/>
      <c r="U94" s="17"/>
      <c r="V94" s="17"/>
      <c r="W94" s="17"/>
      <c r="X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6" t="str">
        <f aca="false">IF(K95="","",IF(AND(K95&lt;=45,OR(J95="Já existe verba aprovada para esse tema",J95="Entra no orçamento do próximo ciclo")),"Alta",IF(OR(K95&lt;=45,J95="Já existe verba aprovada para esse tema"),"Média","Baixa")))</f>
        <v/>
      </c>
      <c r="S95" s="17"/>
      <c r="T95" s="17"/>
      <c r="U95" s="17"/>
      <c r="V95" s="17"/>
      <c r="W95" s="17"/>
      <c r="X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6" t="str">
        <f aca="false">IF(K96="","",IF(AND(K96&lt;=45,OR(J96="Já existe verba aprovada para esse tema",J96="Entra no orçamento do próximo ciclo")),"Alta",IF(OR(K96&lt;=45,J96="Já existe verba aprovada para esse tema"),"Média","Baixa")))</f>
        <v/>
      </c>
      <c r="S96" s="17"/>
      <c r="T96" s="17"/>
      <c r="U96" s="17"/>
      <c r="V96" s="17"/>
      <c r="W96" s="17"/>
      <c r="X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6" t="str">
        <f aca="false">IF(K97="","",IF(AND(K97&lt;=45,OR(J97="Já existe verba aprovada para esse tema",J97="Entra no orçamento do próximo ciclo")),"Alta",IF(OR(K97&lt;=45,J97="Já existe verba aprovada para esse tema"),"Média","Baixa")))</f>
        <v/>
      </c>
      <c r="S97" s="17"/>
      <c r="T97" s="17"/>
      <c r="U97" s="17"/>
      <c r="V97" s="17"/>
      <c r="W97" s="17"/>
      <c r="X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6" t="str">
        <f aca="false">IF(K98="","",IF(AND(K98&lt;=45,OR(J98="Já existe verba aprovada para esse tema",J98="Entra no orçamento do próximo ciclo")),"Alta",IF(OR(K98&lt;=45,J98="Já existe verba aprovada para esse tema"),"Média","Baixa")))</f>
        <v/>
      </c>
      <c r="S98" s="17"/>
      <c r="T98" s="17"/>
      <c r="U98" s="17"/>
      <c r="V98" s="17"/>
      <c r="W98" s="17"/>
      <c r="X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6" t="str">
        <f aca="false">IF(K99="","",IF(AND(K99&lt;=45,OR(J99="Já existe verba aprovada para esse tema",J99="Entra no orçamento do próximo ciclo")),"Alta",IF(OR(K99&lt;=45,J99="Já existe verba aprovada para esse tema"),"Média","Baixa")))</f>
        <v/>
      </c>
      <c r="S99" s="17"/>
      <c r="T99" s="17"/>
      <c r="U99" s="17"/>
      <c r="V99" s="17"/>
      <c r="W99" s="17"/>
      <c r="X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6" t="str">
        <f aca="false">IF(K100="","",IF(AND(K100&lt;=45,OR(J100="Já existe verba aprovada para esse tema",J100="Entra no orçamento do próximo ciclo")),"Alta",IF(OR(K100&lt;=45,J100="Já existe verba aprovada para esse tema"),"Média","Baixa")))</f>
        <v/>
      </c>
      <c r="S100" s="17"/>
      <c r="T100" s="17"/>
      <c r="U100" s="17"/>
      <c r="V100" s="17"/>
      <c r="W100" s="17"/>
      <c r="X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6" t="str">
        <f aca="false">IF(K101="","",IF(AND(K101&lt;=45,OR(J101="Já existe verba aprovada para esse tema",J101="Entra no orçamento do próximo ciclo")),"Alta",IF(OR(K101&lt;=45,J101="Já existe verba aprovada para esse tema"),"Média","Baixa")))</f>
        <v/>
      </c>
      <c r="S101" s="17"/>
      <c r="T101" s="17"/>
      <c r="U101" s="17"/>
      <c r="V101" s="17"/>
      <c r="W101" s="17"/>
      <c r="X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6" t="str">
        <f aca="false">IF(K102="","",IF(AND(K102&lt;=45,OR(J102="Já existe verba aprovada para esse tema",J102="Entra no orçamento do próximo ciclo")),"Alta",IF(OR(K102&lt;=45,J102="Já existe verba aprovada para esse tema"),"Média","Baixa")))</f>
        <v/>
      </c>
      <c r="S102" s="17"/>
      <c r="T102" s="17"/>
      <c r="U102" s="17"/>
      <c r="V102" s="17"/>
      <c r="W102" s="17"/>
      <c r="X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6" t="str">
        <f aca="false">IF(K103="","",IF(AND(K103&lt;=45,OR(J103="Já existe verba aprovada para esse tema",J103="Entra no orçamento do próximo ciclo")),"Alta",IF(OR(K103&lt;=45,J103="Já existe verba aprovada para esse tema"),"Média","Baixa")))</f>
        <v/>
      </c>
      <c r="S103" s="17"/>
      <c r="T103" s="17"/>
      <c r="U103" s="17"/>
      <c r="V103" s="17"/>
      <c r="W103" s="17"/>
      <c r="X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6" t="str">
        <f aca="false">IF(K104="","",IF(AND(K104&lt;=45,OR(J104="Já existe verba aprovada para esse tema",J104="Entra no orçamento do próximo ciclo")),"Alta",IF(OR(K104&lt;=45,J104="Já existe verba aprovada para esse tema"),"Média","Baixa")))</f>
        <v/>
      </c>
      <c r="S104" s="17"/>
      <c r="T104" s="17"/>
      <c r="U104" s="17"/>
      <c r="V104" s="17"/>
      <c r="W104" s="17"/>
      <c r="X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6" t="str">
        <f aca="false">IF(K105="","",IF(AND(K105&lt;=45,OR(J105="Já existe verba aprovada para esse tema",J105="Entra no orçamento do próximo ciclo")),"Alta",IF(OR(K105&lt;=45,J105="Já existe verba aprovada para esse tema"),"Média","Baixa")))</f>
        <v/>
      </c>
      <c r="S105" s="17"/>
      <c r="T105" s="17"/>
      <c r="U105" s="17"/>
      <c r="V105" s="17"/>
      <c r="W105" s="17"/>
      <c r="X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6" t="str">
        <f aca="false">IF(K106="","",IF(AND(K106&lt;=45,OR(J106="Já existe verba aprovada para esse tema",J106="Entra no orçamento do próximo ciclo")),"Alta",IF(OR(K106&lt;=45,J106="Já existe verba aprovada para esse tema"),"Média","Baixa")))</f>
        <v/>
      </c>
      <c r="S106" s="17"/>
      <c r="T106" s="17"/>
      <c r="U106" s="17"/>
      <c r="V106" s="17"/>
      <c r="W106" s="17"/>
      <c r="X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6" t="str">
        <f aca="false">IF(K107="","",IF(AND(K107&lt;=45,OR(J107="Já existe verba aprovada para esse tema",J107="Entra no orçamento do próximo ciclo")),"Alta",IF(OR(K107&lt;=45,J107="Já existe verba aprovada para esse tema"),"Média","Baixa")))</f>
        <v/>
      </c>
      <c r="S107" s="17"/>
      <c r="T107" s="17"/>
      <c r="U107" s="17"/>
      <c r="V107" s="17"/>
      <c r="W107" s="17"/>
      <c r="X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6" t="str">
        <f aca="false">IF(K108="","",IF(AND(K108&lt;=45,OR(J108="Já existe verba aprovada para esse tema",J108="Entra no orçamento do próximo ciclo")),"Alta",IF(OR(K108&lt;=45,J108="Já existe verba aprovada para esse tema"),"Média","Baixa")))</f>
        <v/>
      </c>
      <c r="S108" s="17"/>
      <c r="T108" s="17"/>
      <c r="U108" s="17"/>
      <c r="V108" s="17"/>
      <c r="W108" s="17"/>
      <c r="X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6" t="str">
        <f aca="false">IF(K109="","",IF(AND(K109&lt;=45,OR(J109="Já existe verba aprovada para esse tema",J109="Entra no orçamento do próximo ciclo")),"Alta",IF(OR(K109&lt;=45,J109="Já existe verba aprovada para esse tema"),"Média","Baixa")))</f>
        <v/>
      </c>
      <c r="S109" s="17"/>
      <c r="T109" s="17"/>
      <c r="U109" s="17"/>
      <c r="V109" s="17"/>
      <c r="W109" s="17"/>
      <c r="X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6" t="str">
        <f aca="false">IF(K110="","",IF(AND(K110&lt;=45,OR(J110="Já existe verba aprovada para esse tema",J110="Entra no orçamento do próximo ciclo")),"Alta",IF(OR(K110&lt;=45,J110="Já existe verba aprovada para esse tema"),"Média","Baixa")))</f>
        <v/>
      </c>
      <c r="S110" s="17"/>
      <c r="T110" s="17"/>
      <c r="U110" s="17"/>
      <c r="V110" s="17"/>
      <c r="W110" s="17"/>
      <c r="X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6" t="str">
        <f aca="false">IF(K111="","",IF(AND(K111&lt;=45,OR(J111="Já existe verba aprovada para esse tema",J111="Entra no orçamento do próximo ciclo")),"Alta",IF(OR(K111&lt;=45,J111="Já existe verba aprovada para esse tema"),"Média","Baixa")))</f>
        <v/>
      </c>
      <c r="S111" s="17"/>
      <c r="T111" s="17"/>
      <c r="U111" s="17"/>
      <c r="V111" s="17"/>
      <c r="W111" s="17"/>
      <c r="X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6" t="str">
        <f aca="false">IF(K112="","",IF(AND(K112&lt;=45,OR(J112="Já existe verba aprovada para esse tema",J112="Entra no orçamento do próximo ciclo")),"Alta",IF(OR(K112&lt;=45,J112="Já existe verba aprovada para esse tema"),"Média","Baixa")))</f>
        <v/>
      </c>
      <c r="S112" s="17"/>
      <c r="T112" s="17"/>
      <c r="U112" s="17"/>
      <c r="V112" s="17"/>
      <c r="W112" s="17"/>
      <c r="X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6" t="str">
        <f aca="false">IF(K113="","",IF(AND(K113&lt;=45,OR(J113="Já existe verba aprovada para esse tema",J113="Entra no orçamento do próximo ciclo")),"Alta",IF(OR(K113&lt;=45,J113="Já existe verba aprovada para esse tema"),"Média","Baixa")))</f>
        <v/>
      </c>
      <c r="S113" s="17"/>
      <c r="T113" s="17"/>
      <c r="U113" s="17"/>
      <c r="V113" s="17"/>
      <c r="W113" s="17"/>
      <c r="X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6" t="str">
        <f aca="false">IF(K114="","",IF(AND(K114&lt;=45,OR(J114="Já existe verba aprovada para esse tema",J114="Entra no orçamento do próximo ciclo")),"Alta",IF(OR(K114&lt;=45,J114="Já existe verba aprovada para esse tema"),"Média","Baixa")))</f>
        <v/>
      </c>
      <c r="S114" s="17"/>
      <c r="T114" s="17"/>
      <c r="U114" s="17"/>
      <c r="V114" s="17"/>
      <c r="W114" s="17"/>
      <c r="X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6" t="str">
        <f aca="false">IF(K115="","",IF(AND(K115&lt;=45,OR(J115="Já existe verba aprovada para esse tema",J115="Entra no orçamento do próximo ciclo")),"Alta",IF(OR(K115&lt;=45,J115="Já existe verba aprovada para esse tema"),"Média","Baixa")))</f>
        <v/>
      </c>
      <c r="S115" s="17"/>
      <c r="T115" s="17"/>
      <c r="U115" s="17"/>
      <c r="V115" s="17"/>
      <c r="W115" s="17"/>
      <c r="X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6" t="str">
        <f aca="false">IF(K116="","",IF(AND(K116&lt;=45,OR(J116="Já existe verba aprovada para esse tema",J116="Entra no orçamento do próximo ciclo")),"Alta",IF(OR(K116&lt;=45,J116="Já existe verba aprovada para esse tema"),"Média","Baixa")))</f>
        <v/>
      </c>
      <c r="S116" s="17"/>
      <c r="T116" s="17"/>
      <c r="U116" s="17"/>
      <c r="V116" s="17"/>
      <c r="W116" s="17"/>
      <c r="X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 t="str">
        <f aca="false">IF(K117="","",IF(AND(K117&lt;=45,OR(J117="Já existe verba aprovada para esse tema",J117="Entra no orçamento do próximo ciclo")),"Alta",IF(OR(K117&lt;=45,J117="Já existe verba aprovada para esse tema"),"Média","Baixa")))</f>
        <v/>
      </c>
      <c r="S117" s="17"/>
      <c r="T117" s="17"/>
      <c r="U117" s="17"/>
      <c r="V117" s="17"/>
      <c r="W117" s="17"/>
      <c r="X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6" t="str">
        <f aca="false">IF(K118="","",IF(AND(K118&lt;=45,OR(J118="Já existe verba aprovada para esse tema",J118="Entra no orçamento do próximo ciclo")),"Alta",IF(OR(K118&lt;=45,J118="Já existe verba aprovada para esse tema"),"Média","Baixa")))</f>
        <v/>
      </c>
      <c r="S118" s="17"/>
      <c r="T118" s="17"/>
      <c r="U118" s="17"/>
      <c r="V118" s="17"/>
      <c r="W118" s="17"/>
      <c r="X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6" t="str">
        <f aca="false">IF(K119="","",IF(AND(K119&lt;=45,OR(J119="Já existe verba aprovada para esse tema",J119="Entra no orçamento do próximo ciclo")),"Alta",IF(OR(K119&lt;=45,J119="Já existe verba aprovada para esse tema"),"Média","Baixa")))</f>
        <v/>
      </c>
      <c r="S119" s="17"/>
      <c r="T119" s="17"/>
      <c r="U119" s="17"/>
      <c r="V119" s="17"/>
      <c r="W119" s="17"/>
      <c r="X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6" t="str">
        <f aca="false">IF(K120="","",IF(AND(K120&lt;=45,OR(J120="Já existe verba aprovada para esse tema",J120="Entra no orçamento do próximo ciclo")),"Alta",IF(OR(K120&lt;=45,J120="Já existe verba aprovada para esse tema"),"Média","Baixa")))</f>
        <v/>
      </c>
      <c r="S120" s="17"/>
      <c r="T120" s="17"/>
      <c r="U120" s="17"/>
      <c r="V120" s="17"/>
      <c r="W120" s="17"/>
      <c r="X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6" t="str">
        <f aca="false">IF(K121="","",IF(AND(K121&lt;=45,OR(J121="Já existe verba aprovada para esse tema",J121="Entra no orçamento do próximo ciclo")),"Alta",IF(OR(K121&lt;=45,J121="Já existe verba aprovada para esse tema"),"Média","Baixa")))</f>
        <v/>
      </c>
      <c r="S121" s="17"/>
      <c r="T121" s="17"/>
      <c r="U121" s="17"/>
      <c r="V121" s="17"/>
      <c r="W121" s="17"/>
      <c r="X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6" t="str">
        <f aca="false">IF(K122="","",IF(AND(K122&lt;=45,OR(J122="Já existe verba aprovada para esse tema",J122="Entra no orçamento do próximo ciclo")),"Alta",IF(OR(K122&lt;=45,J122="Já existe verba aprovada para esse tema"),"Média","Baixa")))</f>
        <v/>
      </c>
      <c r="S122" s="17"/>
      <c r="T122" s="17"/>
      <c r="U122" s="17"/>
      <c r="V122" s="17"/>
      <c r="W122" s="17"/>
      <c r="X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6" t="str">
        <f aca="false">IF(K123="","",IF(AND(K123&lt;=45,OR(J123="Já existe verba aprovada para esse tema",J123="Entra no orçamento do próximo ciclo")),"Alta",IF(OR(K123&lt;=45,J123="Já existe verba aprovada para esse tema"),"Média","Baixa")))</f>
        <v/>
      </c>
      <c r="S123" s="17"/>
      <c r="T123" s="17"/>
      <c r="U123" s="17"/>
      <c r="V123" s="17"/>
      <c r="W123" s="17"/>
      <c r="X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6" t="str">
        <f aca="false">IF(K124="","",IF(AND(K124&lt;=45,OR(J124="Já existe verba aprovada para esse tema",J124="Entra no orçamento do próximo ciclo")),"Alta",IF(OR(K124&lt;=45,J124="Já existe verba aprovada para esse tema"),"Média","Baixa")))</f>
        <v/>
      </c>
      <c r="S124" s="17"/>
      <c r="T124" s="17"/>
      <c r="U124" s="17"/>
      <c r="V124" s="17"/>
      <c r="W124" s="17"/>
      <c r="X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6" t="str">
        <f aca="false">IF(K125="","",IF(AND(K125&lt;=45,OR(J125="Já existe verba aprovada para esse tema",J125="Entra no orçamento do próximo ciclo")),"Alta",IF(OR(K125&lt;=45,J125="Já existe verba aprovada para esse tema"),"Média","Baixa")))</f>
        <v/>
      </c>
      <c r="S125" s="17"/>
      <c r="T125" s="17"/>
      <c r="U125" s="17"/>
      <c r="V125" s="17"/>
      <c r="W125" s="17"/>
      <c r="X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6" t="str">
        <f aca="false">IF(K126="","",IF(AND(K126&lt;=45,OR(J126="Já existe verba aprovada para esse tema",J126="Entra no orçamento do próximo ciclo")),"Alta",IF(OR(K126&lt;=45,J126="Já existe verba aprovada para esse tema"),"Média","Baixa")))</f>
        <v/>
      </c>
      <c r="S126" s="17"/>
      <c r="T126" s="17"/>
      <c r="U126" s="17"/>
      <c r="V126" s="17"/>
      <c r="W126" s="17"/>
      <c r="X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6" t="str">
        <f aca="false">IF(K127="","",IF(AND(K127&lt;=45,OR(J127="Já existe verba aprovada para esse tema",J127="Entra no orçamento do próximo ciclo")),"Alta",IF(OR(K127&lt;=45,J127="Já existe verba aprovada para esse tema"),"Média","Baixa")))</f>
        <v/>
      </c>
      <c r="S127" s="17"/>
      <c r="T127" s="17"/>
      <c r="U127" s="17"/>
      <c r="V127" s="17"/>
      <c r="W127" s="17"/>
      <c r="X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6" t="str">
        <f aca="false">IF(K128="","",IF(AND(K128&lt;=45,OR(J128="Já existe verba aprovada para esse tema",J128="Entra no orçamento do próximo ciclo")),"Alta",IF(OR(K128&lt;=45,J128="Já existe verba aprovada para esse tema"),"Média","Baixa")))</f>
        <v/>
      </c>
      <c r="S128" s="17"/>
      <c r="T128" s="17"/>
      <c r="U128" s="17"/>
      <c r="V128" s="17"/>
      <c r="W128" s="17"/>
      <c r="X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6" t="str">
        <f aca="false">IF(K129="","",IF(AND(K129&lt;=45,OR(J129="Já existe verba aprovada para esse tema",J129="Entra no orçamento do próximo ciclo")),"Alta",IF(OR(K129&lt;=45,J129="Já existe verba aprovada para esse tema"),"Média","Baixa")))</f>
        <v/>
      </c>
      <c r="S129" s="17"/>
      <c r="T129" s="17"/>
      <c r="U129" s="17"/>
      <c r="V129" s="17"/>
      <c r="W129" s="17"/>
      <c r="X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6" t="str">
        <f aca="false">IF(K130="","",IF(AND(K130&lt;=45,OR(J130="Já existe verba aprovada para esse tema",J130="Entra no orçamento do próximo ciclo")),"Alta",IF(OR(K130&lt;=45,J130="Já existe verba aprovada para esse tema"),"Média","Baixa")))</f>
        <v/>
      </c>
      <c r="S130" s="17"/>
      <c r="T130" s="17"/>
      <c r="U130" s="17"/>
      <c r="V130" s="17"/>
      <c r="W130" s="17"/>
      <c r="X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6" t="str">
        <f aca="false">IF(K131="","",IF(AND(K131&lt;=45,OR(J131="Já existe verba aprovada para esse tema",J131="Entra no orçamento do próximo ciclo")),"Alta",IF(OR(K131&lt;=45,J131="Já existe verba aprovada para esse tema"),"Média","Baixa")))</f>
        <v/>
      </c>
      <c r="S131" s="17"/>
      <c r="T131" s="17"/>
      <c r="U131" s="17"/>
      <c r="V131" s="17"/>
      <c r="W131" s="17"/>
      <c r="X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6" t="str">
        <f aca="false">IF(K132="","",IF(AND(K132&lt;=45,OR(J132="Já existe verba aprovada para esse tema",J132="Entra no orçamento do próximo ciclo")),"Alta",IF(OR(K132&lt;=45,J132="Já existe verba aprovada para esse tema"),"Média","Baixa")))</f>
        <v/>
      </c>
      <c r="S132" s="17"/>
      <c r="T132" s="17"/>
      <c r="U132" s="17"/>
      <c r="V132" s="17"/>
      <c r="W132" s="17"/>
      <c r="X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6" t="str">
        <f aca="false">IF(K133="","",IF(AND(K133&lt;=45,OR(J133="Já existe verba aprovada para esse tema",J133="Entra no orçamento do próximo ciclo")),"Alta",IF(OR(K133&lt;=45,J133="Já existe verba aprovada para esse tema"),"Média","Baixa")))</f>
        <v/>
      </c>
      <c r="S133" s="17"/>
      <c r="T133" s="17"/>
      <c r="U133" s="17"/>
      <c r="V133" s="17"/>
      <c r="W133" s="17"/>
      <c r="X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6" t="str">
        <f aca="false">IF(K134="","",IF(AND(K134&lt;=45,OR(J134="Já existe verba aprovada para esse tema",J134="Entra no orçamento do próximo ciclo")),"Alta",IF(OR(K134&lt;=45,J134="Já existe verba aprovada para esse tema"),"Média","Baixa")))</f>
        <v/>
      </c>
      <c r="S134" s="17"/>
      <c r="T134" s="17"/>
      <c r="U134" s="17"/>
      <c r="V134" s="17"/>
      <c r="W134" s="17"/>
      <c r="X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6" t="str">
        <f aca="false">IF(K135="","",IF(AND(K135&lt;=45,OR(J135="Já existe verba aprovada para esse tema",J135="Entra no orçamento do próximo ciclo")),"Alta",IF(OR(K135&lt;=45,J135="Já existe verba aprovada para esse tema"),"Média","Baixa")))</f>
        <v/>
      </c>
      <c r="S135" s="17"/>
      <c r="T135" s="17"/>
      <c r="U135" s="17"/>
      <c r="V135" s="17"/>
      <c r="W135" s="17"/>
      <c r="X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6" t="str">
        <f aca="false">IF(K136="","",IF(AND(K136&lt;=45,OR(J136="Já existe verba aprovada para esse tema",J136="Entra no orçamento do próximo ciclo")),"Alta",IF(OR(K136&lt;=45,J136="Já existe verba aprovada para esse tema"),"Média","Baixa")))</f>
        <v/>
      </c>
      <c r="S136" s="17"/>
      <c r="T136" s="17"/>
      <c r="U136" s="17"/>
      <c r="V136" s="17"/>
      <c r="W136" s="17"/>
      <c r="X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6" t="str">
        <f aca="false">IF(K137="","",IF(AND(K137&lt;=45,OR(J137="Já existe verba aprovada para esse tema",J137="Entra no orçamento do próximo ciclo")),"Alta",IF(OR(K137&lt;=45,J137="Já existe verba aprovada para esse tema"),"Média","Baixa")))</f>
        <v/>
      </c>
      <c r="S137" s="17"/>
      <c r="T137" s="17"/>
      <c r="U137" s="17"/>
      <c r="V137" s="17"/>
      <c r="W137" s="17"/>
      <c r="X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6" t="str">
        <f aca="false">IF(K138="","",IF(AND(K138&lt;=45,OR(J138="Já existe verba aprovada para esse tema",J138="Entra no orçamento do próximo ciclo")),"Alta",IF(OR(K138&lt;=45,J138="Já existe verba aprovada para esse tema"),"Média","Baixa")))</f>
        <v/>
      </c>
      <c r="S138" s="17"/>
      <c r="T138" s="17"/>
      <c r="U138" s="17"/>
      <c r="V138" s="17"/>
      <c r="W138" s="17"/>
      <c r="X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6" t="str">
        <f aca="false">IF(K139="","",IF(AND(K139&lt;=45,OR(J139="Já existe verba aprovada para esse tema",J139="Entra no orçamento do próximo ciclo")),"Alta",IF(OR(K139&lt;=45,J139="Já existe verba aprovada para esse tema"),"Média","Baixa")))</f>
        <v/>
      </c>
      <c r="S139" s="17"/>
      <c r="T139" s="17"/>
      <c r="U139" s="17"/>
      <c r="V139" s="17"/>
      <c r="W139" s="17"/>
      <c r="X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6" t="str">
        <f aca="false">IF(K140="","",IF(AND(K140&lt;=45,OR(J140="Já existe verba aprovada para esse tema",J140="Entra no orçamento do próximo ciclo")),"Alta",IF(OR(K140&lt;=45,J140="Já existe verba aprovada para esse tema"),"Média","Baixa")))</f>
        <v/>
      </c>
      <c r="S140" s="17"/>
      <c r="T140" s="17"/>
      <c r="U140" s="17"/>
      <c r="V140" s="17"/>
      <c r="W140" s="17"/>
      <c r="X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6" t="str">
        <f aca="false">IF(K141="","",IF(AND(K141&lt;=45,OR(J141="Já existe verba aprovada para esse tema",J141="Entra no orçamento do próximo ciclo")),"Alta",IF(OR(K141&lt;=45,J141="Já existe verba aprovada para esse tema"),"Média","Baixa")))</f>
        <v/>
      </c>
      <c r="S141" s="17"/>
      <c r="T141" s="17"/>
      <c r="U141" s="17"/>
      <c r="V141" s="17"/>
      <c r="W141" s="17"/>
      <c r="X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6" t="str">
        <f aca="false">IF(K142="","",IF(AND(K142&lt;=45,OR(J142="Já existe verba aprovada para esse tema",J142="Entra no orçamento do próximo ciclo")),"Alta",IF(OR(K142&lt;=45,J142="Já existe verba aprovada para esse tema"),"Média","Baixa")))</f>
        <v/>
      </c>
      <c r="S142" s="17"/>
      <c r="T142" s="17"/>
      <c r="U142" s="17"/>
      <c r="V142" s="17"/>
      <c r="W142" s="17"/>
      <c r="X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6" t="str">
        <f aca="false">IF(K143="","",IF(AND(K143&lt;=45,OR(J143="Já existe verba aprovada para esse tema",J143="Entra no orçamento do próximo ciclo")),"Alta",IF(OR(K143&lt;=45,J143="Já existe verba aprovada para esse tema"),"Média","Baixa")))</f>
        <v/>
      </c>
      <c r="S143" s="17"/>
      <c r="T143" s="17"/>
      <c r="U143" s="17"/>
      <c r="V143" s="17"/>
      <c r="W143" s="17"/>
      <c r="X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6" t="str">
        <f aca="false">IF(K144="","",IF(AND(K144&lt;=45,OR(J144="Já existe verba aprovada para esse tema",J144="Entra no orçamento do próximo ciclo")),"Alta",IF(OR(K144&lt;=45,J144="Já existe verba aprovada para esse tema"),"Média","Baixa")))</f>
        <v/>
      </c>
      <c r="S144" s="17"/>
      <c r="T144" s="17"/>
      <c r="U144" s="17"/>
      <c r="V144" s="17"/>
      <c r="W144" s="17"/>
      <c r="X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6" t="str">
        <f aca="false">IF(K145="","",IF(AND(K145&lt;=45,OR(J145="Já existe verba aprovada para esse tema",J145="Entra no orçamento do próximo ciclo")),"Alta",IF(OR(K145&lt;=45,J145="Já existe verba aprovada para esse tema"),"Média","Baixa")))</f>
        <v/>
      </c>
      <c r="S145" s="17"/>
      <c r="T145" s="17"/>
      <c r="U145" s="17"/>
      <c r="V145" s="17"/>
      <c r="W145" s="17"/>
      <c r="X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6" t="str">
        <f aca="false">IF(K146="","",IF(AND(K146&lt;=45,OR(J146="Já existe verba aprovada para esse tema",J146="Entra no orçamento do próximo ciclo")),"Alta",IF(OR(K146&lt;=45,J146="Já existe verba aprovada para esse tema"),"Média","Baixa")))</f>
        <v/>
      </c>
      <c r="S146" s="17"/>
      <c r="T146" s="17"/>
      <c r="U146" s="17"/>
      <c r="V146" s="17"/>
      <c r="W146" s="17"/>
      <c r="X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6" t="str">
        <f aca="false">IF(K147="","",IF(AND(K147&lt;=45,OR(J147="Já existe verba aprovada para esse tema",J147="Entra no orçamento do próximo ciclo")),"Alta",IF(OR(K147&lt;=45,J147="Já existe verba aprovada para esse tema"),"Média","Baixa")))</f>
        <v/>
      </c>
      <c r="S147" s="17"/>
      <c r="T147" s="17"/>
      <c r="U147" s="17"/>
      <c r="V147" s="17"/>
      <c r="W147" s="17"/>
      <c r="X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6" t="str">
        <f aca="false">IF(K148="","",IF(AND(K148&lt;=45,OR(J148="Já existe verba aprovada para esse tema",J148="Entra no orçamento do próximo ciclo")),"Alta",IF(OR(K148&lt;=45,J148="Já existe verba aprovada para esse tema"),"Média","Baixa")))</f>
        <v/>
      </c>
      <c r="S148" s="17"/>
      <c r="T148" s="17"/>
      <c r="U148" s="17"/>
      <c r="V148" s="17"/>
      <c r="W148" s="17"/>
      <c r="X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6" t="str">
        <f aca="false">IF(K149="","",IF(AND(K149&lt;=45,OR(J149="Já existe verba aprovada para esse tema",J149="Entra no orçamento do próximo ciclo")),"Alta",IF(OR(K149&lt;=45,J149="Já existe verba aprovada para esse tema"),"Média","Baixa")))</f>
        <v/>
      </c>
      <c r="S149" s="17"/>
      <c r="T149" s="17"/>
      <c r="U149" s="17"/>
      <c r="V149" s="17"/>
      <c r="W149" s="17"/>
      <c r="X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6" t="str">
        <f aca="false">IF(K150="","",IF(AND(K150&lt;=45,OR(J150="Já existe verba aprovada para esse tema",J150="Entra no orçamento do próximo ciclo")),"Alta",IF(OR(K150&lt;=45,J150="Já existe verba aprovada para esse tema"),"Média","Baixa")))</f>
        <v/>
      </c>
      <c r="S150" s="17"/>
      <c r="T150" s="17"/>
      <c r="U150" s="17"/>
      <c r="V150" s="17"/>
      <c r="W150" s="17"/>
      <c r="X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6" t="str">
        <f aca="false">IF(K151="","",IF(AND(K151&lt;=45,OR(J151="Já existe verba aprovada para esse tema",J151="Entra no orçamento do próximo ciclo")),"Alta",IF(OR(K151&lt;=45,J151="Já existe verba aprovada para esse tema"),"Média","Baixa")))</f>
        <v/>
      </c>
      <c r="S151" s="17"/>
      <c r="T151" s="17"/>
      <c r="U151" s="17"/>
      <c r="V151" s="17"/>
      <c r="W151" s="17"/>
      <c r="X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6" t="str">
        <f aca="false">IF(K152="","",IF(AND(K152&lt;=45,OR(J152="Já existe verba aprovada para esse tema",J152="Entra no orçamento do próximo ciclo")),"Alta",IF(OR(K152&lt;=45,J152="Já existe verba aprovada para esse tema"),"Média","Baixa")))</f>
        <v/>
      </c>
      <c r="S152" s="17"/>
      <c r="T152" s="17"/>
      <c r="U152" s="17"/>
      <c r="V152" s="17"/>
      <c r="W152" s="17"/>
      <c r="X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6" t="str">
        <f aca="false">IF(K153="","",IF(AND(K153&lt;=45,OR(J153="Já existe verba aprovada para esse tema",J153="Entra no orçamento do próximo ciclo")),"Alta",IF(OR(K153&lt;=45,J153="Já existe verba aprovada para esse tema"),"Média","Baixa")))</f>
        <v/>
      </c>
      <c r="S153" s="17"/>
      <c r="T153" s="17"/>
      <c r="U153" s="17"/>
      <c r="V153" s="17"/>
      <c r="W153" s="17"/>
      <c r="X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6" t="str">
        <f aca="false">IF(K154="","",IF(AND(K154&lt;=45,OR(J154="Já existe verba aprovada para esse tema",J154="Entra no orçamento do próximo ciclo")),"Alta",IF(OR(K154&lt;=45,J154="Já existe verba aprovada para esse tema"),"Média","Baixa")))</f>
        <v/>
      </c>
      <c r="S154" s="17"/>
      <c r="T154" s="17"/>
      <c r="U154" s="17"/>
      <c r="V154" s="17"/>
      <c r="W154" s="17"/>
      <c r="X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6" t="str">
        <f aca="false">IF(K155="","",IF(AND(K155&lt;=45,OR(J155="Já existe verba aprovada para esse tema",J155="Entra no orçamento do próximo ciclo")),"Alta",IF(OR(K155&lt;=45,J155="Já existe verba aprovada para esse tema"),"Média","Baixa")))</f>
        <v/>
      </c>
      <c r="S155" s="17"/>
      <c r="T155" s="17"/>
      <c r="U155" s="17"/>
      <c r="V155" s="17"/>
      <c r="W155" s="17"/>
      <c r="X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6" t="str">
        <f aca="false">IF(K156="","",IF(AND(K156&lt;=45,OR(J156="Já existe verba aprovada para esse tema",J156="Entra no orçamento do próximo ciclo")),"Alta",IF(OR(K156&lt;=45,J156="Já existe verba aprovada para esse tema"),"Média","Baixa")))</f>
        <v/>
      </c>
      <c r="S156" s="17"/>
      <c r="T156" s="17"/>
      <c r="U156" s="17"/>
      <c r="V156" s="17"/>
      <c r="W156" s="17"/>
      <c r="X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6" t="str">
        <f aca="false">IF(K157="","",IF(AND(K157&lt;=45,OR(J157="Já existe verba aprovada para esse tema",J157="Entra no orçamento do próximo ciclo")),"Alta",IF(OR(K157&lt;=45,J157="Já existe verba aprovada para esse tema"),"Média","Baixa")))</f>
        <v/>
      </c>
      <c r="S157" s="17"/>
      <c r="T157" s="17"/>
      <c r="U157" s="17"/>
      <c r="V157" s="17"/>
      <c r="W157" s="17"/>
      <c r="X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6" t="str">
        <f aca="false">IF(K158="","",IF(AND(K158&lt;=45,OR(J158="Já existe verba aprovada para esse tema",J158="Entra no orçamento do próximo ciclo")),"Alta",IF(OR(K158&lt;=45,J158="Já existe verba aprovada para esse tema"),"Média","Baixa")))</f>
        <v/>
      </c>
      <c r="S158" s="17"/>
      <c r="T158" s="17"/>
      <c r="U158" s="17"/>
      <c r="V158" s="17"/>
      <c r="W158" s="17"/>
      <c r="X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6" t="str">
        <f aca="false">IF(K159="","",IF(AND(K159&lt;=45,OR(J159="Já existe verba aprovada para esse tema",J159="Entra no orçamento do próximo ciclo")),"Alta",IF(OR(K159&lt;=45,J159="Já existe verba aprovada para esse tema"),"Média","Baixa")))</f>
        <v/>
      </c>
      <c r="S159" s="17"/>
      <c r="T159" s="17"/>
      <c r="U159" s="17"/>
      <c r="V159" s="17"/>
      <c r="W159" s="17"/>
      <c r="X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6" t="str">
        <f aca="false">IF(K160="","",IF(AND(K160&lt;=45,OR(J160="Já existe verba aprovada para esse tema",J160="Entra no orçamento do próximo ciclo")),"Alta",IF(OR(K160&lt;=45,J160="Já existe verba aprovada para esse tema"),"Média","Baixa")))</f>
        <v/>
      </c>
      <c r="S160" s="17"/>
      <c r="T160" s="17"/>
      <c r="U160" s="17"/>
      <c r="V160" s="17"/>
      <c r="W160" s="17"/>
      <c r="X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6" t="str">
        <f aca="false">IF(K161="","",IF(AND(K161&lt;=45,OR(J161="Já existe verba aprovada para esse tema",J161="Entra no orçamento do próximo ciclo")),"Alta",IF(OR(K161&lt;=45,J161="Já existe verba aprovada para esse tema"),"Média","Baixa")))</f>
        <v/>
      </c>
      <c r="S161" s="17"/>
      <c r="T161" s="17"/>
      <c r="U161" s="17"/>
      <c r="V161" s="17"/>
      <c r="W161" s="17"/>
      <c r="X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6" t="str">
        <f aca="false">IF(K162="","",IF(AND(K162&lt;=45,OR(J162="Já existe verba aprovada para esse tema",J162="Entra no orçamento do próximo ciclo")),"Alta",IF(OR(K162&lt;=45,J162="Já existe verba aprovada para esse tema"),"Média","Baixa")))</f>
        <v/>
      </c>
      <c r="S162" s="17"/>
      <c r="T162" s="17"/>
      <c r="U162" s="17"/>
      <c r="V162" s="17"/>
      <c r="W162" s="17"/>
      <c r="X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6" t="str">
        <f aca="false">IF(K163="","",IF(AND(K163&lt;=45,OR(J163="Já existe verba aprovada para esse tema",J163="Entra no orçamento do próximo ciclo")),"Alta",IF(OR(K163&lt;=45,J163="Já existe verba aprovada para esse tema"),"Média","Baixa")))</f>
        <v/>
      </c>
      <c r="S163" s="17"/>
      <c r="T163" s="17"/>
      <c r="U163" s="17"/>
      <c r="V163" s="17"/>
      <c r="W163" s="17"/>
      <c r="X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6" t="str">
        <f aca="false">IF(K164="","",IF(AND(K164&lt;=45,OR(J164="Já existe verba aprovada para esse tema",J164="Entra no orçamento do próximo ciclo")),"Alta",IF(OR(K164&lt;=45,J164="Já existe verba aprovada para esse tema"),"Média","Baixa")))</f>
        <v/>
      </c>
      <c r="S164" s="17"/>
      <c r="T164" s="17"/>
      <c r="U164" s="17"/>
      <c r="V164" s="17"/>
      <c r="W164" s="17"/>
      <c r="X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6" t="str">
        <f aca="false">IF(K165="","",IF(AND(K165&lt;=45,OR(J165="Já existe verba aprovada para esse tema",J165="Entra no orçamento do próximo ciclo")),"Alta",IF(OR(K165&lt;=45,J165="Já existe verba aprovada para esse tema"),"Média","Baixa")))</f>
        <v/>
      </c>
      <c r="S165" s="17"/>
      <c r="T165" s="17"/>
      <c r="U165" s="17"/>
      <c r="V165" s="17"/>
      <c r="W165" s="17"/>
      <c r="X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6" t="str">
        <f aca="false">IF(K166="","",IF(AND(K166&lt;=45,OR(J166="Já existe verba aprovada para esse tema",J166="Entra no orçamento do próximo ciclo")),"Alta",IF(OR(K166&lt;=45,J166="Já existe verba aprovada para esse tema"),"Média","Baixa")))</f>
        <v/>
      </c>
      <c r="S166" s="17"/>
      <c r="T166" s="17"/>
      <c r="U166" s="17"/>
      <c r="V166" s="17"/>
      <c r="W166" s="17"/>
      <c r="X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6" t="str">
        <f aca="false">IF(K167="","",IF(AND(K167&lt;=45,OR(J167="Já existe verba aprovada para esse tema",J167="Entra no orçamento do próximo ciclo")),"Alta",IF(OR(K167&lt;=45,J167="Já existe verba aprovada para esse tema"),"Média","Baixa")))</f>
        <v/>
      </c>
      <c r="S167" s="17"/>
      <c r="T167" s="17"/>
      <c r="U167" s="17"/>
      <c r="V167" s="17"/>
      <c r="W167" s="17"/>
      <c r="X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6" t="str">
        <f aca="false">IF(K168="","",IF(AND(K168&lt;=45,OR(J168="Já existe verba aprovada para esse tema",J168="Entra no orçamento do próximo ciclo")),"Alta",IF(OR(K168&lt;=45,J168="Já existe verba aprovada para esse tema"),"Média","Baixa")))</f>
        <v/>
      </c>
      <c r="S168" s="17"/>
      <c r="T168" s="17"/>
      <c r="U168" s="17"/>
      <c r="V168" s="17"/>
      <c r="W168" s="17"/>
      <c r="X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6" t="str">
        <f aca="false">IF(K169="","",IF(AND(K169&lt;=45,OR(J169="Já existe verba aprovada para esse tema",J169="Entra no orçamento do próximo ciclo")),"Alta",IF(OR(K169&lt;=45,J169="Já existe verba aprovada para esse tema"),"Média","Baixa")))</f>
        <v/>
      </c>
      <c r="S169" s="17"/>
      <c r="T169" s="17"/>
      <c r="U169" s="17"/>
      <c r="V169" s="17"/>
      <c r="W169" s="17"/>
      <c r="X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6" t="str">
        <f aca="false">IF(K170="","",IF(AND(K170&lt;=45,OR(J170="Já existe verba aprovada para esse tema",J170="Entra no orçamento do próximo ciclo")),"Alta",IF(OR(K170&lt;=45,J170="Já existe verba aprovada para esse tema"),"Média","Baixa")))</f>
        <v/>
      </c>
      <c r="S170" s="17"/>
      <c r="T170" s="17"/>
      <c r="U170" s="17"/>
      <c r="V170" s="17"/>
      <c r="W170" s="17"/>
      <c r="X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6" t="str">
        <f aca="false">IF(K171="","",IF(AND(K171&lt;=45,OR(J171="Já existe verba aprovada para esse tema",J171="Entra no orçamento do próximo ciclo")),"Alta",IF(OR(K171&lt;=45,J171="Já existe verba aprovada para esse tema"),"Média","Baixa")))</f>
        <v/>
      </c>
      <c r="S171" s="17"/>
      <c r="T171" s="17"/>
      <c r="U171" s="17"/>
      <c r="V171" s="17"/>
      <c r="W171" s="17"/>
      <c r="X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6" t="str">
        <f aca="false">IF(K172="","",IF(AND(K172&lt;=45,OR(J172="Já existe verba aprovada para esse tema",J172="Entra no orçamento do próximo ciclo")),"Alta",IF(OR(K172&lt;=45,J172="Já existe verba aprovada para esse tema"),"Média","Baixa")))</f>
        <v/>
      </c>
      <c r="S172" s="17"/>
      <c r="T172" s="17"/>
      <c r="U172" s="17"/>
      <c r="V172" s="17"/>
      <c r="W172" s="17"/>
      <c r="X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6" t="str">
        <f aca="false">IF(K173="","",IF(AND(K173&lt;=45,OR(J173="Já existe verba aprovada para esse tema",J173="Entra no orçamento do próximo ciclo")),"Alta",IF(OR(K173&lt;=45,J173="Já existe verba aprovada para esse tema"),"Média","Baixa")))</f>
        <v/>
      </c>
      <c r="S173" s="17"/>
      <c r="T173" s="17"/>
      <c r="U173" s="17"/>
      <c r="V173" s="17"/>
      <c r="W173" s="17"/>
      <c r="X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6" t="str">
        <f aca="false">IF(K174="","",IF(AND(K174&lt;=45,OR(J174="Já existe verba aprovada para esse tema",J174="Entra no orçamento do próximo ciclo")),"Alta",IF(OR(K174&lt;=45,J174="Já existe verba aprovada para esse tema"),"Média","Baixa")))</f>
        <v/>
      </c>
      <c r="S174" s="17"/>
      <c r="T174" s="17"/>
      <c r="U174" s="17"/>
      <c r="V174" s="17"/>
      <c r="W174" s="17"/>
      <c r="X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6" t="str">
        <f aca="false">IF(K175="","",IF(AND(K175&lt;=45,OR(J175="Já existe verba aprovada para esse tema",J175="Entra no orçamento do próximo ciclo")),"Alta",IF(OR(K175&lt;=45,J175="Já existe verba aprovada para esse tema"),"Média","Baixa")))</f>
        <v/>
      </c>
      <c r="S175" s="17"/>
      <c r="T175" s="17"/>
      <c r="U175" s="17"/>
      <c r="V175" s="17"/>
      <c r="W175" s="17"/>
      <c r="X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6" t="str">
        <f aca="false">IF(K176="","",IF(AND(K176&lt;=45,OR(J176="Já existe verba aprovada para esse tema",J176="Entra no orçamento do próximo ciclo")),"Alta",IF(OR(K176&lt;=45,J176="Já existe verba aprovada para esse tema"),"Média","Baixa")))</f>
        <v/>
      </c>
      <c r="S176" s="17"/>
      <c r="T176" s="17"/>
      <c r="U176" s="17"/>
      <c r="V176" s="17"/>
      <c r="W176" s="17"/>
      <c r="X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6" t="str">
        <f aca="false">IF(K177="","",IF(AND(K177&lt;=45,OR(J177="Já existe verba aprovada para esse tema",J177="Entra no orçamento do próximo ciclo")),"Alta",IF(OR(K177&lt;=45,J177="Já existe verba aprovada para esse tema"),"Média","Baixa")))</f>
        <v/>
      </c>
      <c r="S177" s="17"/>
      <c r="T177" s="17"/>
      <c r="U177" s="17"/>
      <c r="V177" s="17"/>
      <c r="W177" s="17"/>
      <c r="X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6" t="str">
        <f aca="false">IF(K178="","",IF(AND(K178&lt;=45,OR(J178="Já existe verba aprovada para esse tema",J178="Entra no orçamento do próximo ciclo")),"Alta",IF(OR(K178&lt;=45,J178="Já existe verba aprovada para esse tema"),"Média","Baixa")))</f>
        <v/>
      </c>
      <c r="S178" s="17"/>
      <c r="T178" s="17"/>
      <c r="U178" s="17"/>
      <c r="V178" s="17"/>
      <c r="W178" s="17"/>
      <c r="X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6" t="str">
        <f aca="false">IF(K179="","",IF(AND(K179&lt;=45,OR(J179="Já existe verba aprovada para esse tema",J179="Entra no orçamento do próximo ciclo")),"Alta",IF(OR(K179&lt;=45,J179="Já existe verba aprovada para esse tema"),"Média","Baixa")))</f>
        <v/>
      </c>
      <c r="S179" s="17"/>
      <c r="T179" s="17"/>
      <c r="U179" s="17"/>
      <c r="V179" s="17"/>
      <c r="W179" s="17"/>
      <c r="X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6" t="str">
        <f aca="false">IF(K180="","",IF(AND(K180&lt;=45,OR(J180="Já existe verba aprovada para esse tema",J180="Entra no orçamento do próximo ciclo")),"Alta",IF(OR(K180&lt;=45,J180="Já existe verba aprovada para esse tema"),"Média","Baixa")))</f>
        <v/>
      </c>
      <c r="S180" s="17"/>
      <c r="T180" s="17"/>
      <c r="U180" s="17"/>
      <c r="V180" s="17"/>
      <c r="W180" s="17"/>
      <c r="X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6" t="str">
        <f aca="false">IF(K181="","",IF(AND(K181&lt;=45,OR(J181="Já existe verba aprovada para esse tema",J181="Entra no orçamento do próximo ciclo")),"Alta",IF(OR(K181&lt;=45,J181="Já existe verba aprovada para esse tema"),"Média","Baixa")))</f>
        <v/>
      </c>
      <c r="S181" s="17"/>
      <c r="T181" s="17"/>
      <c r="U181" s="17"/>
      <c r="V181" s="17"/>
      <c r="W181" s="17"/>
      <c r="X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6" t="str">
        <f aca="false">IF(K182="","",IF(AND(K182&lt;=45,OR(J182="Já existe verba aprovada para esse tema",J182="Entra no orçamento do próximo ciclo")),"Alta",IF(OR(K182&lt;=45,J182="Já existe verba aprovada para esse tema"),"Média","Baixa")))</f>
        <v/>
      </c>
      <c r="S182" s="17"/>
      <c r="T182" s="17"/>
      <c r="U182" s="17"/>
      <c r="V182" s="17"/>
      <c r="W182" s="17"/>
      <c r="X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6" t="str">
        <f aca="false">IF(K183="","",IF(AND(K183&lt;=45,OR(J183="Já existe verba aprovada para esse tema",J183="Entra no orçamento do próximo ciclo")),"Alta",IF(OR(K183&lt;=45,J183="Já existe verba aprovada para esse tema"),"Média","Baixa")))</f>
        <v/>
      </c>
      <c r="S183" s="17"/>
      <c r="T183" s="17"/>
      <c r="U183" s="17"/>
      <c r="V183" s="17"/>
      <c r="W183" s="17"/>
      <c r="X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6" t="str">
        <f aca="false">IF(K184="","",IF(AND(K184&lt;=45,OR(J184="Já existe verba aprovada para esse tema",J184="Entra no orçamento do próximo ciclo")),"Alta",IF(OR(K184&lt;=45,J184="Já existe verba aprovada para esse tema"),"Média","Baixa")))</f>
        <v/>
      </c>
      <c r="S184" s="17"/>
      <c r="T184" s="17"/>
      <c r="U184" s="17"/>
      <c r="V184" s="17"/>
      <c r="W184" s="17"/>
      <c r="X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6" t="str">
        <f aca="false">IF(K185="","",IF(AND(K185&lt;=45,OR(J185="Já existe verba aprovada para esse tema",J185="Entra no orçamento do próximo ciclo")),"Alta",IF(OR(K185&lt;=45,J185="Já existe verba aprovada para esse tema"),"Média","Baixa")))</f>
        <v/>
      </c>
      <c r="S185" s="17"/>
      <c r="T185" s="17"/>
      <c r="U185" s="17"/>
      <c r="V185" s="17"/>
      <c r="W185" s="17"/>
      <c r="X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6" t="str">
        <f aca="false">IF(K186="","",IF(AND(K186&lt;=45,OR(J186="Já existe verba aprovada para esse tema",J186="Entra no orçamento do próximo ciclo")),"Alta",IF(OR(K186&lt;=45,J186="Já existe verba aprovada para esse tema"),"Média","Baixa")))</f>
        <v/>
      </c>
      <c r="S186" s="17"/>
      <c r="T186" s="17"/>
      <c r="U186" s="17"/>
      <c r="V186" s="17"/>
      <c r="W186" s="17"/>
      <c r="X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6" t="str">
        <f aca="false">IF(K187="","",IF(AND(K187&lt;=45,OR(J187="Já existe verba aprovada para esse tema",J187="Entra no orçamento do próximo ciclo")),"Alta",IF(OR(K187&lt;=45,J187="Já existe verba aprovada para esse tema"),"Média","Baixa")))</f>
        <v/>
      </c>
      <c r="S187" s="17"/>
      <c r="T187" s="17"/>
      <c r="U187" s="17"/>
      <c r="V187" s="17"/>
      <c r="W187" s="17"/>
      <c r="X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6" t="str">
        <f aca="false">IF(K188="","",IF(AND(K188&lt;=45,OR(J188="Já existe verba aprovada para esse tema",J188="Entra no orçamento do próximo ciclo")),"Alta",IF(OR(K188&lt;=45,J188="Já existe verba aprovada para esse tema"),"Média","Baixa")))</f>
        <v/>
      </c>
      <c r="S188" s="17"/>
      <c r="T188" s="17"/>
      <c r="U188" s="17"/>
      <c r="V188" s="17"/>
      <c r="W188" s="17"/>
      <c r="X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6" t="str">
        <f aca="false">IF(K189="","",IF(AND(K189&lt;=45,OR(J189="Já existe verba aprovada para esse tema",J189="Entra no orçamento do próximo ciclo")),"Alta",IF(OR(K189&lt;=45,J189="Já existe verba aprovada para esse tema"),"Média","Baixa")))</f>
        <v/>
      </c>
      <c r="S189" s="17"/>
      <c r="T189" s="17"/>
      <c r="U189" s="17"/>
      <c r="V189" s="17"/>
      <c r="W189" s="17"/>
      <c r="X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6" t="str">
        <f aca="false">IF(K190="","",IF(AND(K190&lt;=45,OR(J190="Já existe verba aprovada para esse tema",J190="Entra no orçamento do próximo ciclo")),"Alta",IF(OR(K190&lt;=45,J190="Já existe verba aprovada para esse tema"),"Média","Baixa")))</f>
        <v/>
      </c>
      <c r="S190" s="17"/>
      <c r="T190" s="17"/>
      <c r="U190" s="17"/>
      <c r="V190" s="17"/>
      <c r="W190" s="17"/>
      <c r="X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6" t="str">
        <f aca="false">IF(K191="","",IF(AND(K191&lt;=45,OR(J191="Já existe verba aprovada para esse tema",J191="Entra no orçamento do próximo ciclo")),"Alta",IF(OR(K191&lt;=45,J191="Já existe verba aprovada para esse tema"),"Média","Baixa")))</f>
        <v/>
      </c>
      <c r="S191" s="17"/>
      <c r="T191" s="17"/>
      <c r="U191" s="17"/>
      <c r="V191" s="17"/>
      <c r="W191" s="17"/>
      <c r="X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6" t="str">
        <f aca="false">IF(K192="","",IF(AND(K192&lt;=45,OR(J192="Já existe verba aprovada para esse tema",J192="Entra no orçamento do próximo ciclo")),"Alta",IF(OR(K192&lt;=45,J192="Já existe verba aprovada para esse tema"),"Média","Baixa")))</f>
        <v/>
      </c>
      <c r="S192" s="17"/>
      <c r="T192" s="17"/>
      <c r="U192" s="17"/>
      <c r="V192" s="17"/>
      <c r="W192" s="17"/>
      <c r="X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6" t="str">
        <f aca="false">IF(K193="","",IF(AND(K193&lt;=45,OR(J193="Já existe verba aprovada para esse tema",J193="Entra no orçamento do próximo ciclo")),"Alta",IF(OR(K193&lt;=45,J193="Já existe verba aprovada para esse tema"),"Média","Baixa")))</f>
        <v/>
      </c>
      <c r="S193" s="17"/>
      <c r="T193" s="17"/>
      <c r="U193" s="17"/>
      <c r="V193" s="17"/>
      <c r="W193" s="17"/>
      <c r="X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6" t="str">
        <f aca="false">IF(K194="","",IF(AND(K194&lt;=45,OR(J194="Já existe verba aprovada para esse tema",J194="Entra no orçamento do próximo ciclo")),"Alta",IF(OR(K194&lt;=45,J194="Já existe verba aprovada para esse tema"),"Média","Baixa")))</f>
        <v/>
      </c>
      <c r="S194" s="17"/>
      <c r="T194" s="17"/>
      <c r="U194" s="17"/>
      <c r="V194" s="17"/>
      <c r="W194" s="17"/>
      <c r="X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6" t="str">
        <f aca="false">IF(K195="","",IF(AND(K195&lt;=45,OR(J195="Já existe verba aprovada para esse tema",J195="Entra no orçamento do próximo ciclo")),"Alta",IF(OR(K195&lt;=45,J195="Já existe verba aprovada para esse tema"),"Média","Baixa")))</f>
        <v/>
      </c>
      <c r="S195" s="17"/>
      <c r="T195" s="17"/>
      <c r="U195" s="17"/>
      <c r="V195" s="17"/>
      <c r="W195" s="17"/>
      <c r="X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6" t="str">
        <f aca="false">IF(K196="","",IF(AND(K196&lt;=45,OR(J196="Já existe verba aprovada para esse tema",J196="Entra no orçamento do próximo ciclo")),"Alta",IF(OR(K196&lt;=45,J196="Já existe verba aprovada para esse tema"),"Média","Baixa")))</f>
        <v/>
      </c>
      <c r="S196" s="17"/>
      <c r="T196" s="17"/>
      <c r="U196" s="17"/>
      <c r="V196" s="17"/>
      <c r="W196" s="17"/>
      <c r="X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6" t="str">
        <f aca="false">IF(K197="","",IF(AND(K197&lt;=45,OR(J197="Já existe verba aprovada para esse tema",J197="Entra no orçamento do próximo ciclo")),"Alta",IF(OR(K197&lt;=45,J197="Já existe verba aprovada para esse tema"),"Média","Baixa")))</f>
        <v/>
      </c>
      <c r="S197" s="17"/>
      <c r="T197" s="17"/>
      <c r="U197" s="17"/>
      <c r="V197" s="17"/>
      <c r="W197" s="17"/>
      <c r="X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6" t="str">
        <f aca="false">IF(K198="","",IF(AND(K198&lt;=45,OR(J198="Já existe verba aprovada para esse tema",J198="Entra no orçamento do próximo ciclo")),"Alta",IF(OR(K198&lt;=45,J198="Já existe verba aprovada para esse tema"),"Média","Baixa")))</f>
        <v/>
      </c>
      <c r="S198" s="17"/>
      <c r="T198" s="17"/>
      <c r="U198" s="17"/>
      <c r="V198" s="17"/>
      <c r="W198" s="17"/>
      <c r="X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6" t="str">
        <f aca="false">IF(K199="","",IF(AND(K199&lt;=45,OR(J199="Já existe verba aprovada para esse tema",J199="Entra no orçamento do próximo ciclo")),"Alta",IF(OR(K199&lt;=45,J199="Já existe verba aprovada para esse tema"),"Média","Baixa")))</f>
        <v/>
      </c>
      <c r="S199" s="17"/>
      <c r="T199" s="17"/>
      <c r="U199" s="17"/>
      <c r="V199" s="17"/>
      <c r="W199" s="17"/>
      <c r="X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6" t="str">
        <f aca="false">IF(K200="","",IF(AND(K200&lt;=45,OR(J200="Já existe verba aprovada para esse tema",J200="Entra no orçamento do próximo ciclo")),"Alta",IF(OR(K200&lt;=45,J200="Já existe verba aprovada para esse tema"),"Média","Baixa")))</f>
        <v/>
      </c>
      <c r="S200" s="17"/>
      <c r="T200" s="17"/>
      <c r="U200" s="17"/>
      <c r="V200" s="17"/>
      <c r="W200" s="17"/>
      <c r="X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6" t="str">
        <f aca="false">IF(K201="","",IF(AND(K201&lt;=45,OR(J201="Já existe verba aprovada para esse tema",J201="Entra no orçamento do próximo ciclo")),"Alta",IF(OR(K201&lt;=45,J201="Já existe verba aprovada para esse tema"),"Média","Baixa")))</f>
        <v/>
      </c>
      <c r="S201" s="17"/>
      <c r="T201" s="17"/>
      <c r="U201" s="17"/>
      <c r="V201" s="17"/>
      <c r="W201" s="17"/>
      <c r="X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6" t="str">
        <f aca="false">IF(K202="","",IF(AND(K202&lt;=45,OR(J202="Já existe verba aprovada para esse tema",J202="Entra no orçamento do próximo ciclo")),"Alta",IF(OR(K202&lt;=45,J202="Já existe verba aprovada para esse tema"),"Média","Baixa")))</f>
        <v/>
      </c>
      <c r="S202" s="17"/>
      <c r="T202" s="17"/>
      <c r="U202" s="17"/>
      <c r="V202" s="17"/>
      <c r="W202" s="17"/>
      <c r="X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6" t="str">
        <f aca="false">IF(K203="","",IF(AND(K203&lt;=45,OR(J203="Já existe verba aprovada para esse tema",J203="Entra no orçamento do próximo ciclo")),"Alta",IF(OR(K203&lt;=45,J203="Já existe verba aprovada para esse tema"),"Média","Baixa")))</f>
        <v/>
      </c>
      <c r="S203" s="17"/>
      <c r="T203" s="17"/>
      <c r="U203" s="17"/>
      <c r="V203" s="17"/>
      <c r="W203" s="17"/>
      <c r="X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6" t="str">
        <f aca="false">IF(K204="","",IF(AND(K204&lt;=45,OR(J204="Já existe verba aprovada para esse tema",J204="Entra no orçamento do próximo ciclo")),"Alta",IF(OR(K204&lt;=45,J204="Já existe verba aprovada para esse tema"),"Média","Baixa")))</f>
        <v/>
      </c>
      <c r="S204" s="17"/>
      <c r="T204" s="17"/>
      <c r="U204" s="17"/>
      <c r="V204" s="17"/>
      <c r="W204" s="17"/>
      <c r="X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6" t="str">
        <f aca="false">IF(K205="","",IF(AND(K205&lt;=45,OR(J205="Já existe verba aprovada para esse tema",J205="Entra no orçamento do próximo ciclo")),"Alta",IF(OR(K205&lt;=45,J205="Já existe verba aprovada para esse tema"),"Média","Baixa")))</f>
        <v/>
      </c>
      <c r="S205" s="17"/>
      <c r="T205" s="17"/>
      <c r="U205" s="17"/>
      <c r="V205" s="17"/>
      <c r="W205" s="17"/>
      <c r="X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6" t="str">
        <f aca="false">IF(K206="","",IF(AND(K206&lt;=45,OR(J206="Já existe verba aprovada para esse tema",J206="Entra no orçamento do próximo ciclo")),"Alta",IF(OR(K206&lt;=45,J206="Já existe verba aprovada para esse tema"),"Média","Baixa")))</f>
        <v/>
      </c>
      <c r="S206" s="17"/>
      <c r="T206" s="17"/>
      <c r="U206" s="17"/>
      <c r="V206" s="17"/>
      <c r="W206" s="17"/>
      <c r="X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6" t="str">
        <f aca="false">IF(K207="","",IF(AND(K207&lt;=45,OR(J207="Já existe verba aprovada para esse tema",J207="Entra no orçamento do próximo ciclo")),"Alta",IF(OR(K207&lt;=45,J207="Já existe verba aprovada para esse tema"),"Média","Baixa")))</f>
        <v/>
      </c>
      <c r="S207" s="17"/>
      <c r="T207" s="17"/>
      <c r="U207" s="17"/>
      <c r="V207" s="17"/>
      <c r="W207" s="17"/>
      <c r="X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6" t="str">
        <f aca="false">IF(K208="","",IF(AND(K208&lt;=45,OR(J208="Já existe verba aprovada para esse tema",J208="Entra no orçamento do próximo ciclo")),"Alta",IF(OR(K208&lt;=45,J208="Já existe verba aprovada para esse tema"),"Média","Baixa")))</f>
        <v/>
      </c>
      <c r="S208" s="17"/>
      <c r="T208" s="17"/>
      <c r="U208" s="17"/>
      <c r="V208" s="17"/>
      <c r="W208" s="17"/>
      <c r="X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6" t="str">
        <f aca="false">IF(K209="","",IF(AND(K209&lt;=45,OR(J209="Já existe verba aprovada para esse tema",J209="Entra no orçamento do próximo ciclo")),"Alta",IF(OR(K209&lt;=45,J209="Já existe verba aprovada para esse tema"),"Média","Baixa")))</f>
        <v/>
      </c>
      <c r="S209" s="17"/>
      <c r="T209" s="17"/>
      <c r="U209" s="17"/>
      <c r="V209" s="17"/>
      <c r="W209" s="17"/>
      <c r="X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6" t="str">
        <f aca="false">IF(K210="","",IF(AND(K210&lt;=45,OR(J210="Já existe verba aprovada para esse tema",J210="Entra no orçamento do próximo ciclo")),"Alta",IF(OR(K210&lt;=45,J210="Já existe verba aprovada para esse tema"),"Média","Baixa")))</f>
        <v/>
      </c>
      <c r="S210" s="17"/>
      <c r="T210" s="17"/>
      <c r="U210" s="17"/>
      <c r="V210" s="17"/>
      <c r="W210" s="17"/>
      <c r="X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6" t="str">
        <f aca="false">IF(K211="","",IF(AND(K211&lt;=45,OR(J211="Já existe verba aprovada para esse tema",J211="Entra no orçamento do próximo ciclo")),"Alta",IF(OR(K211&lt;=45,J211="Já existe verba aprovada para esse tema"),"Média","Baixa")))</f>
        <v/>
      </c>
      <c r="S211" s="17"/>
      <c r="T211" s="17"/>
      <c r="U211" s="17"/>
      <c r="V211" s="17"/>
      <c r="W211" s="17"/>
      <c r="X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6" t="str">
        <f aca="false">IF(K212="","",IF(AND(K212&lt;=45,OR(J212="Já existe verba aprovada para esse tema",J212="Entra no orçamento do próximo ciclo")),"Alta",IF(OR(K212&lt;=45,J212="Já existe verba aprovada para esse tema"),"Média","Baixa")))</f>
        <v/>
      </c>
      <c r="S212" s="17"/>
      <c r="T212" s="17"/>
      <c r="U212" s="17"/>
      <c r="V212" s="17"/>
      <c r="W212" s="17"/>
      <c r="X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6" t="str">
        <f aca="false">IF(K213="","",IF(AND(K213&lt;=45,OR(J213="Já existe verba aprovada para esse tema",J213="Entra no orçamento do próximo ciclo")),"Alta",IF(OR(K213&lt;=45,J213="Já existe verba aprovada para esse tema"),"Média","Baixa")))</f>
        <v/>
      </c>
      <c r="S213" s="17"/>
      <c r="T213" s="17"/>
      <c r="U213" s="17"/>
      <c r="V213" s="17"/>
      <c r="W213" s="17"/>
      <c r="X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6" t="str">
        <f aca="false">IF(K214="","",IF(AND(K214&lt;=45,OR(J214="Já existe verba aprovada para esse tema",J214="Entra no orçamento do próximo ciclo")),"Alta",IF(OR(K214&lt;=45,J214="Já existe verba aprovada para esse tema"),"Média","Baixa")))</f>
        <v/>
      </c>
      <c r="S214" s="17"/>
      <c r="T214" s="17"/>
      <c r="U214" s="17"/>
      <c r="V214" s="17"/>
      <c r="W214" s="17"/>
      <c r="X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6" t="str">
        <f aca="false">IF(K215="","",IF(AND(K215&lt;=45,OR(J215="Já existe verba aprovada para esse tema",J215="Entra no orçamento do próximo ciclo")),"Alta",IF(OR(K215&lt;=45,J215="Já existe verba aprovada para esse tema"),"Média","Baixa")))</f>
        <v/>
      </c>
      <c r="S215" s="17"/>
      <c r="T215" s="17"/>
      <c r="U215" s="17"/>
      <c r="V215" s="17"/>
      <c r="W215" s="17"/>
      <c r="X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6" t="str">
        <f aca="false">IF(K216="","",IF(AND(K216&lt;=45,OR(J216="Já existe verba aprovada para esse tema",J216="Entra no orçamento do próximo ciclo")),"Alta",IF(OR(K216&lt;=45,J216="Já existe verba aprovada para esse tema"),"Média","Baixa")))</f>
        <v/>
      </c>
      <c r="S216" s="17"/>
      <c r="T216" s="17"/>
      <c r="U216" s="17"/>
      <c r="V216" s="17"/>
      <c r="W216" s="17"/>
      <c r="X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6" t="str">
        <f aca="false">IF(K217="","",IF(AND(K217&lt;=45,OR(J217="Já existe verba aprovada para esse tema",J217="Entra no orçamento do próximo ciclo")),"Alta",IF(OR(K217&lt;=45,J217="Já existe verba aprovada para esse tema"),"Média","Baixa")))</f>
        <v/>
      </c>
      <c r="S217" s="17"/>
      <c r="T217" s="17"/>
      <c r="U217" s="17"/>
      <c r="V217" s="17"/>
      <c r="W217" s="17"/>
      <c r="X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6" t="str">
        <f aca="false">IF(K218="","",IF(AND(K218&lt;=45,OR(J218="Já existe verba aprovada para esse tema",J218="Entra no orçamento do próximo ciclo")),"Alta",IF(OR(K218&lt;=45,J218="Já existe verba aprovada para esse tema"),"Média","Baixa")))</f>
        <v/>
      </c>
      <c r="S218" s="17"/>
      <c r="T218" s="17"/>
      <c r="U218" s="17"/>
      <c r="V218" s="17"/>
      <c r="W218" s="17"/>
      <c r="X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6" t="str">
        <f aca="false">IF(K219="","",IF(AND(K219&lt;=45,OR(J219="Já existe verba aprovada para esse tema",J219="Entra no orçamento do próximo ciclo")),"Alta",IF(OR(K219&lt;=45,J219="Já existe verba aprovada para esse tema"),"Média","Baixa")))</f>
        <v/>
      </c>
      <c r="S219" s="17"/>
      <c r="T219" s="17"/>
      <c r="U219" s="17"/>
      <c r="V219" s="17"/>
      <c r="W219" s="17"/>
      <c r="X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6" t="str">
        <f aca="false">IF(K220="","",IF(AND(K220&lt;=45,OR(J220="Já existe verba aprovada para esse tema",J220="Entra no orçamento do próximo ciclo")),"Alta",IF(OR(K220&lt;=45,J220="Já existe verba aprovada para esse tema"),"Média","Baixa")))</f>
        <v/>
      </c>
      <c r="S220" s="17"/>
      <c r="T220" s="17"/>
      <c r="U220" s="17"/>
      <c r="V220" s="17"/>
      <c r="W220" s="17"/>
      <c r="X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6" t="str">
        <f aca="false">IF(K221="","",IF(AND(K221&lt;=45,OR(J221="Já existe verba aprovada para esse tema",J221="Entra no orçamento do próximo ciclo")),"Alta",IF(OR(K221&lt;=45,J221="Já existe verba aprovada para esse tema"),"Média","Baixa")))</f>
        <v/>
      </c>
      <c r="S221" s="17"/>
      <c r="T221" s="17"/>
      <c r="U221" s="17"/>
      <c r="V221" s="17"/>
      <c r="W221" s="17"/>
      <c r="X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6" t="str">
        <f aca="false">IF(K222="","",IF(AND(K222&lt;=45,OR(J222="Já existe verba aprovada para esse tema",J222="Entra no orçamento do próximo ciclo")),"Alta",IF(OR(K222&lt;=45,J222="Já existe verba aprovada para esse tema"),"Média","Baixa")))</f>
        <v/>
      </c>
      <c r="S222" s="17"/>
      <c r="T222" s="17"/>
      <c r="U222" s="17"/>
      <c r="V222" s="17"/>
      <c r="W222" s="17"/>
      <c r="X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6" t="str">
        <f aca="false">IF(K223="","",IF(AND(K223&lt;=45,OR(J223="Já existe verba aprovada para esse tema",J223="Entra no orçamento do próximo ciclo")),"Alta",IF(OR(K223&lt;=45,J223="Já existe verba aprovada para esse tema"),"Média","Baixa")))</f>
        <v/>
      </c>
      <c r="S223" s="17"/>
      <c r="T223" s="17"/>
      <c r="U223" s="17"/>
      <c r="V223" s="17"/>
      <c r="W223" s="17"/>
      <c r="X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6" t="str">
        <f aca="false">IF(K224="","",IF(AND(K224&lt;=45,OR(J224="Já existe verba aprovada para esse tema",J224="Entra no orçamento do próximo ciclo")),"Alta",IF(OR(K224&lt;=45,J224="Já existe verba aprovada para esse tema"),"Média","Baixa")))</f>
        <v/>
      </c>
      <c r="S224" s="17"/>
      <c r="T224" s="17"/>
      <c r="U224" s="17"/>
      <c r="V224" s="17"/>
      <c r="W224" s="17"/>
      <c r="X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6" t="str">
        <f aca="false">IF(K225="","",IF(AND(K225&lt;=45,OR(J225="Já existe verba aprovada para esse tema",J225="Entra no orçamento do próximo ciclo")),"Alta",IF(OR(K225&lt;=45,J225="Já existe verba aprovada para esse tema"),"Média","Baixa")))</f>
        <v/>
      </c>
      <c r="S225" s="17"/>
      <c r="T225" s="17"/>
      <c r="U225" s="17"/>
      <c r="V225" s="17"/>
      <c r="W225" s="17"/>
      <c r="X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6" t="str">
        <f aca="false">IF(K226="","",IF(AND(K226&lt;=45,OR(J226="Já existe verba aprovada para esse tema",J226="Entra no orçamento do próximo ciclo")),"Alta",IF(OR(K226&lt;=45,J226="Já existe verba aprovada para esse tema"),"Média","Baixa")))</f>
        <v/>
      </c>
      <c r="S226" s="17"/>
      <c r="T226" s="17"/>
      <c r="U226" s="17"/>
      <c r="V226" s="17"/>
      <c r="W226" s="17"/>
      <c r="X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6" t="str">
        <f aca="false">IF(K227="","",IF(AND(K227&lt;=45,OR(J227="Já existe verba aprovada para esse tema",J227="Entra no orçamento do próximo ciclo")),"Alta",IF(OR(K227&lt;=45,J227="Já existe verba aprovada para esse tema"),"Média","Baixa")))</f>
        <v/>
      </c>
      <c r="S227" s="17"/>
      <c r="T227" s="17"/>
      <c r="U227" s="17"/>
      <c r="V227" s="17"/>
      <c r="W227" s="17"/>
      <c r="X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6" t="str">
        <f aca="false">IF(K228="","",IF(AND(K228&lt;=45,OR(J228="Já existe verba aprovada para esse tema",J228="Entra no orçamento do próximo ciclo")),"Alta",IF(OR(K228&lt;=45,J228="Já existe verba aprovada para esse tema"),"Média","Baixa")))</f>
        <v/>
      </c>
      <c r="S228" s="17"/>
      <c r="T228" s="17"/>
      <c r="U228" s="17"/>
      <c r="V228" s="17"/>
      <c r="W228" s="17"/>
      <c r="X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6" t="str">
        <f aca="false">IF(K229="","",IF(AND(K229&lt;=45,OR(J229="Já existe verba aprovada para esse tema",J229="Entra no orçamento do próximo ciclo")),"Alta",IF(OR(K229&lt;=45,J229="Já existe verba aprovada para esse tema"),"Média","Baixa")))</f>
        <v/>
      </c>
      <c r="S229" s="17"/>
      <c r="T229" s="17"/>
      <c r="U229" s="17"/>
      <c r="V229" s="17"/>
      <c r="W229" s="17"/>
      <c r="X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6" t="str">
        <f aca="false">IF(K230="","",IF(AND(K230&lt;=45,OR(J230="Já existe verba aprovada para esse tema",J230="Entra no orçamento do próximo ciclo")),"Alta",IF(OR(K230&lt;=45,J230="Já existe verba aprovada para esse tema"),"Média","Baixa")))</f>
        <v/>
      </c>
      <c r="S230" s="17"/>
      <c r="T230" s="17"/>
      <c r="U230" s="17"/>
      <c r="V230" s="17"/>
      <c r="W230" s="17"/>
      <c r="X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6" t="str">
        <f aca="false">IF(K231="","",IF(AND(K231&lt;=45,OR(J231="Já existe verba aprovada para esse tema",J231="Entra no orçamento do próximo ciclo")),"Alta",IF(OR(K231&lt;=45,J231="Já existe verba aprovada para esse tema"),"Média","Baixa")))</f>
        <v/>
      </c>
      <c r="S231" s="17"/>
      <c r="T231" s="17"/>
      <c r="U231" s="17"/>
      <c r="V231" s="17"/>
      <c r="W231" s="17"/>
      <c r="X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6" t="str">
        <f aca="false">IF(K232="","",IF(AND(K232&lt;=45,OR(J232="Já existe verba aprovada para esse tema",J232="Entra no orçamento do próximo ciclo")),"Alta",IF(OR(K232&lt;=45,J232="Já existe verba aprovada para esse tema"),"Média","Baixa")))</f>
        <v/>
      </c>
      <c r="S232" s="17"/>
      <c r="T232" s="17"/>
      <c r="U232" s="17"/>
      <c r="V232" s="17"/>
      <c r="W232" s="17"/>
      <c r="X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6" t="str">
        <f aca="false">IF(K233="","",IF(AND(K233&lt;=45,OR(J233="Já existe verba aprovada para esse tema",J233="Entra no orçamento do próximo ciclo")),"Alta",IF(OR(K233&lt;=45,J233="Já existe verba aprovada para esse tema"),"Média","Baixa")))</f>
        <v/>
      </c>
      <c r="S233" s="17"/>
      <c r="T233" s="17"/>
      <c r="U233" s="17"/>
      <c r="V233" s="17"/>
      <c r="W233" s="17"/>
      <c r="X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6" t="str">
        <f aca="false">IF(K234="","",IF(AND(K234&lt;=45,OR(J234="Já existe verba aprovada para esse tema",J234="Entra no orçamento do próximo ciclo")),"Alta",IF(OR(K234&lt;=45,J234="Já existe verba aprovada para esse tema"),"Média","Baixa")))</f>
        <v/>
      </c>
      <c r="S234" s="17"/>
      <c r="T234" s="17"/>
      <c r="U234" s="17"/>
      <c r="V234" s="17"/>
      <c r="W234" s="17"/>
      <c r="X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6" t="str">
        <f aca="false">IF(K235="","",IF(AND(K235&lt;=45,OR(J235="Já existe verba aprovada para esse tema",J235="Entra no orçamento do próximo ciclo")),"Alta",IF(OR(K235&lt;=45,J235="Já existe verba aprovada para esse tema"),"Média","Baixa")))</f>
        <v/>
      </c>
      <c r="S235" s="17"/>
      <c r="T235" s="17"/>
      <c r="U235" s="17"/>
      <c r="V235" s="17"/>
      <c r="W235" s="17"/>
      <c r="X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6" t="str">
        <f aca="false">IF(K236="","",IF(AND(K236&lt;=45,OR(J236="Já existe verba aprovada para esse tema",J236="Entra no orçamento do próximo ciclo")),"Alta",IF(OR(K236&lt;=45,J236="Já existe verba aprovada para esse tema"),"Média","Baixa")))</f>
        <v/>
      </c>
      <c r="S236" s="17"/>
      <c r="T236" s="17"/>
      <c r="U236" s="17"/>
      <c r="V236" s="17"/>
      <c r="W236" s="17"/>
      <c r="X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6" t="str">
        <f aca="false">IF(K237="","",IF(AND(K237&lt;=45,OR(J237="Já existe verba aprovada para esse tema",J237="Entra no orçamento do próximo ciclo")),"Alta",IF(OR(K237&lt;=45,J237="Já existe verba aprovada para esse tema"),"Média","Baixa")))</f>
        <v/>
      </c>
      <c r="S237" s="17"/>
      <c r="T237" s="17"/>
      <c r="U237" s="17"/>
      <c r="V237" s="17"/>
      <c r="W237" s="17"/>
      <c r="X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6" t="str">
        <f aca="false">IF(K238="","",IF(AND(K238&lt;=45,OR(J238="Já existe verba aprovada para esse tema",J238="Entra no orçamento do próximo ciclo")),"Alta",IF(OR(K238&lt;=45,J238="Já existe verba aprovada para esse tema"),"Média","Baixa")))</f>
        <v/>
      </c>
      <c r="S238" s="17"/>
      <c r="T238" s="17"/>
      <c r="U238" s="17"/>
      <c r="V238" s="17"/>
      <c r="W238" s="17"/>
      <c r="X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6" t="str">
        <f aca="false">IF(K239="","",IF(AND(K239&lt;=45,OR(J239="Já existe verba aprovada para esse tema",J239="Entra no orçamento do próximo ciclo")),"Alta",IF(OR(K239&lt;=45,J239="Já existe verba aprovada para esse tema"),"Média","Baixa")))</f>
        <v/>
      </c>
      <c r="S239" s="17"/>
      <c r="T239" s="17"/>
      <c r="U239" s="17"/>
      <c r="V239" s="17"/>
      <c r="W239" s="17"/>
      <c r="X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6" t="str">
        <f aca="false">IF(K240="","",IF(AND(K240&lt;=45,OR(J240="Já existe verba aprovada para esse tema",J240="Entra no orçamento do próximo ciclo")),"Alta",IF(OR(K240&lt;=45,J240="Já existe verba aprovada para esse tema"),"Média","Baixa")))</f>
        <v/>
      </c>
      <c r="S240" s="17"/>
      <c r="T240" s="17"/>
      <c r="U240" s="17"/>
      <c r="V240" s="17"/>
      <c r="W240" s="17"/>
      <c r="X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6" t="str">
        <f aca="false">IF(K241="","",IF(AND(K241&lt;=45,OR(J241="Já existe verba aprovada para esse tema",J241="Entra no orçamento do próximo ciclo")),"Alta",IF(OR(K241&lt;=45,J241="Já existe verba aprovada para esse tema"),"Média","Baixa")))</f>
        <v/>
      </c>
      <c r="S241" s="17"/>
      <c r="T241" s="17"/>
      <c r="U241" s="17"/>
      <c r="V241" s="17"/>
      <c r="W241" s="17"/>
      <c r="X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6" t="str">
        <f aca="false">IF(K242="","",IF(AND(K242&lt;=45,OR(J242="Já existe verba aprovada para esse tema",J242="Entra no orçamento do próximo ciclo")),"Alta",IF(OR(K242&lt;=45,J242="Já existe verba aprovada para esse tema"),"Média","Baixa")))</f>
        <v/>
      </c>
      <c r="S242" s="17"/>
      <c r="T242" s="17"/>
      <c r="U242" s="17"/>
      <c r="V242" s="17"/>
      <c r="W242" s="17"/>
      <c r="X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6" t="str">
        <f aca="false">IF(K243="","",IF(AND(K243&lt;=45,OR(J243="Já existe verba aprovada para esse tema",J243="Entra no orçamento do próximo ciclo")),"Alta",IF(OR(K243&lt;=45,J243="Já existe verba aprovada para esse tema"),"Média","Baixa")))</f>
        <v/>
      </c>
      <c r="S243" s="17"/>
      <c r="T243" s="17"/>
      <c r="U243" s="17"/>
      <c r="V243" s="17"/>
      <c r="W243" s="17"/>
      <c r="X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6" t="str">
        <f aca="false">IF(K244="","",IF(AND(K244&lt;=45,OR(J244="Já existe verba aprovada para esse tema",J244="Entra no orçamento do próximo ciclo")),"Alta",IF(OR(K244&lt;=45,J244="Já existe verba aprovada para esse tema"),"Média","Baixa")))</f>
        <v/>
      </c>
      <c r="S244" s="17"/>
      <c r="T244" s="17"/>
      <c r="U244" s="17"/>
      <c r="V244" s="17"/>
      <c r="W244" s="17"/>
      <c r="X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6" t="str">
        <f aca="false">IF(K245="","",IF(AND(K245&lt;=45,OR(J245="Já existe verba aprovada para esse tema",J245="Entra no orçamento do próximo ciclo")),"Alta",IF(OR(K245&lt;=45,J245="Já existe verba aprovada para esse tema"),"Média","Baixa")))</f>
        <v/>
      </c>
      <c r="S245" s="17"/>
      <c r="T245" s="17"/>
      <c r="U245" s="17"/>
      <c r="V245" s="17"/>
      <c r="W245" s="17"/>
      <c r="X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6" t="str">
        <f aca="false">IF(K246="","",IF(AND(K246&lt;=45,OR(J246="Já existe verba aprovada para esse tema",J246="Entra no orçamento do próximo ciclo")),"Alta",IF(OR(K246&lt;=45,J246="Já existe verba aprovada para esse tema"),"Média","Baixa")))</f>
        <v/>
      </c>
      <c r="S246" s="17"/>
      <c r="T246" s="17"/>
      <c r="U246" s="17"/>
      <c r="V246" s="17"/>
      <c r="W246" s="17"/>
      <c r="X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6" t="str">
        <f aca="false">IF(K247="","",IF(AND(K247&lt;=45,OR(J247="Já existe verba aprovada para esse tema",J247="Entra no orçamento do próximo ciclo")),"Alta",IF(OR(K247&lt;=45,J247="Já existe verba aprovada para esse tema"),"Média","Baixa")))</f>
        <v/>
      </c>
      <c r="S247" s="17"/>
      <c r="T247" s="17"/>
      <c r="U247" s="17"/>
      <c r="V247" s="17"/>
      <c r="W247" s="17"/>
      <c r="X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6" t="str">
        <f aca="false">IF(K248="","",IF(AND(K248&lt;=45,OR(J248="Já existe verba aprovada para esse tema",J248="Entra no orçamento do próximo ciclo")),"Alta",IF(OR(K248&lt;=45,J248="Já existe verba aprovada para esse tema"),"Média","Baixa")))</f>
        <v/>
      </c>
      <c r="S248" s="17"/>
      <c r="T248" s="17"/>
      <c r="U248" s="17"/>
      <c r="V248" s="17"/>
      <c r="W248" s="17"/>
      <c r="X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6" t="str">
        <f aca="false">IF(K249="","",IF(AND(K249&lt;=45,OR(J249="Já existe verba aprovada para esse tema",J249="Entra no orçamento do próximo ciclo")),"Alta",IF(OR(K249&lt;=45,J249="Já existe verba aprovada para esse tema"),"Média","Baixa")))</f>
        <v/>
      </c>
      <c r="S249" s="17"/>
      <c r="T249" s="17"/>
      <c r="U249" s="17"/>
      <c r="V249" s="17"/>
      <c r="W249" s="17"/>
      <c r="X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6" t="str">
        <f aca="false">IF(K250="","",IF(AND(K250&lt;=45,OR(J250="Já existe verba aprovada para esse tema",J250="Entra no orçamento do próximo ciclo")),"Alta",IF(OR(K250&lt;=45,J250="Já existe verba aprovada para esse tema"),"Média","Baixa")))</f>
        <v/>
      </c>
      <c r="S250" s="17"/>
      <c r="T250" s="17"/>
      <c r="U250" s="17"/>
      <c r="V250" s="17"/>
      <c r="W250" s="17"/>
      <c r="X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6" t="str">
        <f aca="false">IF(K251="","",IF(AND(K251&lt;=45,OR(J251="Já existe verba aprovada para esse tema",J251="Entra no orçamento do próximo ciclo")),"Alta",IF(OR(K251&lt;=45,J251="Já existe verba aprovada para esse tema"),"Média","Baixa")))</f>
        <v/>
      </c>
      <c r="S251" s="17"/>
      <c r="T251" s="17"/>
      <c r="U251" s="17"/>
      <c r="V251" s="17"/>
      <c r="W251" s="17"/>
      <c r="X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6" t="str">
        <f aca="false">IF(K252="","",IF(AND(K252&lt;=45,OR(J252="Já existe verba aprovada para esse tema",J252="Entra no orçamento do próximo ciclo")),"Alta",IF(OR(K252&lt;=45,J252="Já existe verba aprovada para esse tema"),"Média","Baixa")))</f>
        <v/>
      </c>
      <c r="S252" s="17"/>
      <c r="T252" s="17"/>
      <c r="U252" s="17"/>
      <c r="V252" s="17"/>
      <c r="W252" s="17"/>
      <c r="X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6" t="str">
        <f aca="false">IF(K253="","",IF(AND(K253&lt;=45,OR(J253="Já existe verba aprovada para esse tema",J253="Entra no orçamento do próximo ciclo")),"Alta",IF(OR(K253&lt;=45,J253="Já existe verba aprovada para esse tema"),"Média","Baixa")))</f>
        <v/>
      </c>
      <c r="S253" s="17"/>
      <c r="T253" s="17"/>
      <c r="U253" s="17"/>
      <c r="V253" s="17"/>
      <c r="W253" s="17"/>
      <c r="X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6" t="str">
        <f aca="false">IF(K254="","",IF(AND(K254&lt;=45,OR(J254="Já existe verba aprovada para esse tema",J254="Entra no orçamento do próximo ciclo")),"Alta",IF(OR(K254&lt;=45,J254="Já existe verba aprovada para esse tema"),"Média","Baixa")))</f>
        <v/>
      </c>
      <c r="S254" s="17"/>
      <c r="T254" s="17"/>
      <c r="U254" s="17"/>
      <c r="V254" s="17"/>
      <c r="W254" s="17"/>
      <c r="X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6" t="str">
        <f aca="false">IF(K255="","",IF(AND(K255&lt;=45,OR(J255="Já existe verba aprovada para esse tema",J255="Entra no orçamento do próximo ciclo")),"Alta",IF(OR(K255&lt;=45,J255="Já existe verba aprovada para esse tema"),"Média","Baixa")))</f>
        <v/>
      </c>
      <c r="S255" s="17"/>
      <c r="T255" s="17"/>
      <c r="U255" s="17"/>
      <c r="V255" s="17"/>
      <c r="W255" s="17"/>
      <c r="X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6" t="str">
        <f aca="false">IF(K256="","",IF(AND(K256&lt;=45,OR(J256="Já existe verba aprovada para esse tema",J256="Entra no orçamento do próximo ciclo")),"Alta",IF(OR(K256&lt;=45,J256="Já existe verba aprovada para esse tema"),"Média","Baixa")))</f>
        <v/>
      </c>
      <c r="S256" s="17"/>
      <c r="T256" s="17"/>
      <c r="U256" s="17"/>
      <c r="V256" s="17"/>
      <c r="W256" s="17"/>
      <c r="X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6" t="str">
        <f aca="false">IF(K257="","",IF(AND(K257&lt;=45,OR(J257="Já existe verba aprovada para esse tema",J257="Entra no orçamento do próximo ciclo")),"Alta",IF(OR(K257&lt;=45,J257="Já existe verba aprovada para esse tema"),"Média","Baixa")))</f>
        <v/>
      </c>
      <c r="S257" s="17"/>
      <c r="T257" s="17"/>
      <c r="U257" s="17"/>
      <c r="V257" s="17"/>
      <c r="W257" s="17"/>
      <c r="X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6" t="str">
        <f aca="false">IF(K258="","",IF(AND(K258&lt;=45,OR(J258="Já existe verba aprovada para esse tema",J258="Entra no orçamento do próximo ciclo")),"Alta",IF(OR(K258&lt;=45,J258="Já existe verba aprovada para esse tema"),"Média","Baixa")))</f>
        <v/>
      </c>
      <c r="S258" s="17"/>
      <c r="T258" s="17"/>
      <c r="U258" s="17"/>
      <c r="V258" s="17"/>
      <c r="W258" s="17"/>
      <c r="X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6" t="str">
        <f aca="false">IF(K259="","",IF(AND(K259&lt;=45,OR(J259="Já existe verba aprovada para esse tema",J259="Entra no orçamento do próximo ciclo")),"Alta",IF(OR(K259&lt;=45,J259="Já existe verba aprovada para esse tema"),"Média","Baixa")))</f>
        <v/>
      </c>
      <c r="S259" s="17"/>
      <c r="T259" s="17"/>
      <c r="U259" s="17"/>
      <c r="V259" s="17"/>
      <c r="W259" s="17"/>
      <c r="X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6" t="str">
        <f aca="false">IF(K260="","",IF(AND(K260&lt;=45,OR(J260="Já existe verba aprovada para esse tema",J260="Entra no orçamento do próximo ciclo")),"Alta",IF(OR(K260&lt;=45,J260="Já existe verba aprovada para esse tema"),"Média","Baixa")))</f>
        <v/>
      </c>
      <c r="S260" s="17"/>
      <c r="T260" s="17"/>
      <c r="U260" s="17"/>
      <c r="V260" s="17"/>
      <c r="W260" s="17"/>
      <c r="X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6" t="str">
        <f aca="false">IF(K261="","",IF(AND(K261&lt;=45,OR(J261="Já existe verba aprovada para esse tema",J261="Entra no orçamento do próximo ciclo")),"Alta",IF(OR(K261&lt;=45,J261="Já existe verba aprovada para esse tema"),"Média","Baixa")))</f>
        <v/>
      </c>
      <c r="S261" s="17"/>
      <c r="T261" s="17"/>
      <c r="U261" s="17"/>
      <c r="V261" s="17"/>
      <c r="W261" s="17"/>
      <c r="X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6" t="str">
        <f aca="false">IF(K262="","",IF(AND(K262&lt;=45,OR(J262="Já existe verba aprovada para esse tema",J262="Entra no orçamento do próximo ciclo")),"Alta",IF(OR(K262&lt;=45,J262="Já existe verba aprovada para esse tema"),"Média","Baixa")))</f>
        <v/>
      </c>
      <c r="S262" s="17"/>
      <c r="T262" s="17"/>
      <c r="U262" s="17"/>
      <c r="V262" s="17"/>
      <c r="W262" s="17"/>
      <c r="X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6" t="str">
        <f aca="false">IF(K263="","",IF(AND(K263&lt;=45,OR(J263="Já existe verba aprovada para esse tema",J263="Entra no orçamento do próximo ciclo")),"Alta",IF(OR(K263&lt;=45,J263="Já existe verba aprovada para esse tema"),"Média","Baixa")))</f>
        <v/>
      </c>
      <c r="S263" s="17"/>
      <c r="T263" s="17"/>
      <c r="U263" s="17"/>
      <c r="V263" s="17"/>
      <c r="W263" s="17"/>
      <c r="X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6" t="str">
        <f aca="false">IF(K264="","",IF(AND(K264&lt;=45,OR(J264="Já existe verba aprovada para esse tema",J264="Entra no orçamento do próximo ciclo")),"Alta",IF(OR(K264&lt;=45,J264="Já existe verba aprovada para esse tema"),"Média","Baixa")))</f>
        <v/>
      </c>
      <c r="S264" s="17"/>
      <c r="T264" s="17"/>
      <c r="U264" s="17"/>
      <c r="V264" s="17"/>
      <c r="W264" s="17"/>
      <c r="X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6" t="str">
        <f aca="false">IF(K265="","",IF(AND(K265&lt;=45,OR(J265="Já existe verba aprovada para esse tema",J265="Entra no orçamento do próximo ciclo")),"Alta",IF(OR(K265&lt;=45,J265="Já existe verba aprovada para esse tema"),"Média","Baixa")))</f>
        <v/>
      </c>
      <c r="S265" s="17"/>
      <c r="T265" s="17"/>
      <c r="U265" s="17"/>
      <c r="V265" s="17"/>
      <c r="W265" s="17"/>
      <c r="X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6" t="str">
        <f aca="false">IF(K266="","",IF(AND(K266&lt;=45,OR(J266="Já existe verba aprovada para esse tema",J266="Entra no orçamento do próximo ciclo")),"Alta",IF(OR(K266&lt;=45,J266="Já existe verba aprovada para esse tema"),"Média","Baixa")))</f>
        <v/>
      </c>
      <c r="S266" s="17"/>
      <c r="T266" s="17"/>
      <c r="U266" s="17"/>
      <c r="V266" s="17"/>
      <c r="W266" s="17"/>
      <c r="X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6" t="str">
        <f aca="false">IF(K267="","",IF(AND(K267&lt;=45,OR(J267="Já existe verba aprovada para esse tema",J267="Entra no orçamento do próximo ciclo")),"Alta",IF(OR(K267&lt;=45,J267="Já existe verba aprovada para esse tema"),"Média","Baixa")))</f>
        <v/>
      </c>
      <c r="S267" s="17"/>
      <c r="T267" s="17"/>
      <c r="U267" s="17"/>
      <c r="V267" s="17"/>
      <c r="W267" s="17"/>
      <c r="X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6" t="str">
        <f aca="false">IF(K268="","",IF(AND(K268&lt;=45,OR(J268="Já existe verba aprovada para esse tema",J268="Entra no orçamento do próximo ciclo")),"Alta",IF(OR(K268&lt;=45,J268="Já existe verba aprovada para esse tema"),"Média","Baixa")))</f>
        <v/>
      </c>
      <c r="S268" s="17"/>
      <c r="T268" s="17"/>
      <c r="U268" s="17"/>
      <c r="V268" s="17"/>
      <c r="W268" s="17"/>
      <c r="X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6" t="str">
        <f aca="false">IF(K269="","",IF(AND(K269&lt;=45,OR(J269="Já existe verba aprovada para esse tema",J269="Entra no orçamento do próximo ciclo")),"Alta",IF(OR(K269&lt;=45,J269="Já existe verba aprovada para esse tema"),"Média","Baixa")))</f>
        <v/>
      </c>
      <c r="S269" s="17"/>
      <c r="T269" s="17"/>
      <c r="U269" s="17"/>
      <c r="V269" s="17"/>
      <c r="W269" s="17"/>
      <c r="X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6" t="str">
        <f aca="false">IF(K270="","",IF(AND(K270&lt;=45,OR(J270="Já existe verba aprovada para esse tema",J270="Entra no orçamento do próximo ciclo")),"Alta",IF(OR(K270&lt;=45,J270="Já existe verba aprovada para esse tema"),"Média","Baixa")))</f>
        <v/>
      </c>
      <c r="S270" s="17"/>
      <c r="T270" s="17"/>
      <c r="U270" s="17"/>
      <c r="V270" s="17"/>
      <c r="W270" s="17"/>
      <c r="X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6" t="str">
        <f aca="false">IF(K271="","",IF(AND(K271&lt;=45,OR(J271="Já existe verba aprovada para esse tema",J271="Entra no orçamento do próximo ciclo")),"Alta",IF(OR(K271&lt;=45,J271="Já existe verba aprovada para esse tema"),"Média","Baixa")))</f>
        <v/>
      </c>
      <c r="S271" s="17"/>
      <c r="T271" s="17"/>
      <c r="U271" s="17"/>
      <c r="V271" s="17"/>
      <c r="W271" s="17"/>
      <c r="X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6" t="str">
        <f aca="false">IF(K272="","",IF(AND(K272&lt;=45,OR(J272="Já existe verba aprovada para esse tema",J272="Entra no orçamento do próximo ciclo")),"Alta",IF(OR(K272&lt;=45,J272="Já existe verba aprovada para esse tema"),"Média","Baixa")))</f>
        <v/>
      </c>
      <c r="S272" s="17"/>
      <c r="T272" s="17"/>
      <c r="U272" s="17"/>
      <c r="V272" s="17"/>
      <c r="W272" s="17"/>
      <c r="X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6" t="str">
        <f aca="false">IF(K273="","",IF(AND(K273&lt;=45,OR(J273="Já existe verba aprovada para esse tema",J273="Entra no orçamento do próximo ciclo")),"Alta",IF(OR(K273&lt;=45,J273="Já existe verba aprovada para esse tema"),"Média","Baixa")))</f>
        <v/>
      </c>
      <c r="S273" s="17"/>
      <c r="T273" s="17"/>
      <c r="U273" s="17"/>
      <c r="V273" s="17"/>
      <c r="W273" s="17"/>
      <c r="X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6" t="str">
        <f aca="false">IF(K274="","",IF(AND(K274&lt;=45,OR(J274="Já existe verba aprovada para esse tema",J274="Entra no orçamento do próximo ciclo")),"Alta",IF(OR(K274&lt;=45,J274="Já existe verba aprovada para esse tema"),"Média","Baixa")))</f>
        <v/>
      </c>
      <c r="S274" s="17"/>
      <c r="T274" s="17"/>
      <c r="U274" s="17"/>
      <c r="V274" s="17"/>
      <c r="W274" s="17"/>
      <c r="X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6" t="str">
        <f aca="false">IF(K275="","",IF(AND(K275&lt;=45,OR(J275="Já existe verba aprovada para esse tema",J275="Entra no orçamento do próximo ciclo")),"Alta",IF(OR(K275&lt;=45,J275="Já existe verba aprovada para esse tema"),"Média","Baixa")))</f>
        <v/>
      </c>
      <c r="S275" s="17"/>
      <c r="T275" s="17"/>
      <c r="U275" s="17"/>
      <c r="V275" s="17"/>
      <c r="W275" s="17"/>
      <c r="X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6" t="str">
        <f aca="false">IF(K276="","",IF(AND(K276&lt;=45,OR(J276="Já existe verba aprovada para esse tema",J276="Entra no orçamento do próximo ciclo")),"Alta",IF(OR(K276&lt;=45,J276="Já existe verba aprovada para esse tema"),"Média","Baixa")))</f>
        <v/>
      </c>
      <c r="S276" s="17"/>
      <c r="T276" s="17"/>
      <c r="U276" s="17"/>
      <c r="V276" s="17"/>
      <c r="W276" s="17"/>
      <c r="X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6" t="str">
        <f aca="false">IF(K277="","",IF(AND(K277&lt;=45,OR(J277="Já existe verba aprovada para esse tema",J277="Entra no orçamento do próximo ciclo")),"Alta",IF(OR(K277&lt;=45,J277="Já existe verba aprovada para esse tema"),"Média","Baixa")))</f>
        <v/>
      </c>
      <c r="S277" s="17"/>
      <c r="T277" s="17"/>
      <c r="U277" s="17"/>
      <c r="V277" s="17"/>
      <c r="W277" s="17"/>
      <c r="X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6" t="str">
        <f aca="false">IF(K278="","",IF(AND(K278&lt;=45,OR(J278="Já existe verba aprovada para esse tema",J278="Entra no orçamento do próximo ciclo")),"Alta",IF(OR(K278&lt;=45,J278="Já existe verba aprovada para esse tema"),"Média","Baixa")))</f>
        <v/>
      </c>
      <c r="S278" s="17"/>
      <c r="T278" s="17"/>
      <c r="U278" s="17"/>
      <c r="V278" s="17"/>
      <c r="W278" s="17"/>
      <c r="X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6" t="str">
        <f aca="false">IF(K279="","",IF(AND(K279&lt;=45,OR(J279="Já existe verba aprovada para esse tema",J279="Entra no orçamento do próximo ciclo")),"Alta",IF(OR(K279&lt;=45,J279="Já existe verba aprovada para esse tema"),"Média","Baixa")))</f>
        <v/>
      </c>
      <c r="S279" s="17"/>
      <c r="T279" s="17"/>
      <c r="U279" s="17"/>
      <c r="V279" s="17"/>
      <c r="W279" s="17"/>
      <c r="X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6" t="str">
        <f aca="false">IF(K280="","",IF(AND(K280&lt;=45,OR(J280="Já existe verba aprovada para esse tema",J280="Entra no orçamento do próximo ciclo")),"Alta",IF(OR(K280&lt;=45,J280="Já existe verba aprovada para esse tema"),"Média","Baixa")))</f>
        <v/>
      </c>
      <c r="S280" s="17"/>
      <c r="T280" s="17"/>
      <c r="U280" s="17"/>
      <c r="V280" s="17"/>
      <c r="W280" s="17"/>
      <c r="X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6" t="str">
        <f aca="false">IF(K281="","",IF(AND(K281&lt;=45,OR(J281="Já existe verba aprovada para esse tema",J281="Entra no orçamento do próximo ciclo")),"Alta",IF(OR(K281&lt;=45,J281="Já existe verba aprovada para esse tema"),"Média","Baixa")))</f>
        <v/>
      </c>
      <c r="S281" s="17"/>
      <c r="T281" s="17"/>
      <c r="U281" s="17"/>
      <c r="V281" s="17"/>
      <c r="W281" s="17"/>
      <c r="X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6" t="str">
        <f aca="false">IF(K282="","",IF(AND(K282&lt;=45,OR(J282="Já existe verba aprovada para esse tema",J282="Entra no orçamento do próximo ciclo")),"Alta",IF(OR(K282&lt;=45,J282="Já existe verba aprovada para esse tema"),"Média","Baixa")))</f>
        <v/>
      </c>
      <c r="S282" s="17"/>
      <c r="T282" s="17"/>
      <c r="U282" s="17"/>
      <c r="V282" s="17"/>
      <c r="W282" s="17"/>
      <c r="X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6" t="str">
        <f aca="false">IF(K283="","",IF(AND(K283&lt;=45,OR(J283="Já existe verba aprovada para esse tema",J283="Entra no orçamento do próximo ciclo")),"Alta",IF(OR(K283&lt;=45,J283="Já existe verba aprovada para esse tema"),"Média","Baixa")))</f>
        <v/>
      </c>
      <c r="S283" s="17"/>
      <c r="T283" s="17"/>
      <c r="U283" s="17"/>
      <c r="V283" s="17"/>
      <c r="W283" s="17"/>
      <c r="X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6" t="str">
        <f aca="false">IF(K284="","",IF(AND(K284&lt;=45,OR(J284="Já existe verba aprovada para esse tema",J284="Entra no orçamento do próximo ciclo")),"Alta",IF(OR(K284&lt;=45,J284="Já existe verba aprovada para esse tema"),"Média","Baixa")))</f>
        <v/>
      </c>
      <c r="S284" s="17"/>
      <c r="T284" s="17"/>
      <c r="U284" s="17"/>
      <c r="V284" s="17"/>
      <c r="W284" s="17"/>
      <c r="X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6" t="str">
        <f aca="false">IF(K285="","",IF(AND(K285&lt;=45,OR(J285="Já existe verba aprovada para esse tema",J285="Entra no orçamento do próximo ciclo")),"Alta",IF(OR(K285&lt;=45,J285="Já existe verba aprovada para esse tema"),"Média","Baixa")))</f>
        <v/>
      </c>
      <c r="S285" s="17"/>
      <c r="T285" s="17"/>
      <c r="U285" s="17"/>
      <c r="V285" s="17"/>
      <c r="W285" s="17"/>
      <c r="X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6" t="str">
        <f aca="false">IF(K286="","",IF(AND(K286&lt;=45,OR(J286="Já existe verba aprovada para esse tema",J286="Entra no orçamento do próximo ciclo")),"Alta",IF(OR(K286&lt;=45,J286="Já existe verba aprovada para esse tema"),"Média","Baixa")))</f>
        <v/>
      </c>
      <c r="S286" s="17"/>
      <c r="T286" s="17"/>
      <c r="U286" s="17"/>
      <c r="V286" s="17"/>
      <c r="W286" s="17"/>
      <c r="X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6" t="str">
        <f aca="false">IF(K287="","",IF(AND(K287&lt;=45,OR(J287="Já existe verba aprovada para esse tema",J287="Entra no orçamento do próximo ciclo")),"Alta",IF(OR(K287&lt;=45,J287="Já existe verba aprovada para esse tema"),"Média","Baixa")))</f>
        <v/>
      </c>
      <c r="S287" s="17"/>
      <c r="T287" s="17"/>
      <c r="U287" s="17"/>
      <c r="V287" s="17"/>
      <c r="W287" s="17"/>
      <c r="X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6" t="str">
        <f aca="false">IF(K288="","",IF(AND(K288&lt;=45,OR(J288="Já existe verba aprovada para esse tema",J288="Entra no orçamento do próximo ciclo")),"Alta",IF(OR(K288&lt;=45,J288="Já existe verba aprovada para esse tema"),"Média","Baixa")))</f>
        <v/>
      </c>
      <c r="S288" s="17"/>
      <c r="T288" s="17"/>
      <c r="U288" s="17"/>
      <c r="V288" s="17"/>
      <c r="W288" s="17"/>
      <c r="X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6" t="str">
        <f aca="false">IF(K289="","",IF(AND(K289&lt;=45,OR(J289="Já existe verba aprovada para esse tema",J289="Entra no orçamento do próximo ciclo")),"Alta",IF(OR(K289&lt;=45,J289="Já existe verba aprovada para esse tema"),"Média","Baixa")))</f>
        <v/>
      </c>
      <c r="S289" s="17"/>
      <c r="T289" s="17"/>
      <c r="U289" s="17"/>
      <c r="V289" s="17"/>
      <c r="W289" s="17"/>
      <c r="X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6" t="str">
        <f aca="false">IF(K290="","",IF(AND(K290&lt;=45,OR(J290="Já existe verba aprovada para esse tema",J290="Entra no orçamento do próximo ciclo")),"Alta",IF(OR(K290&lt;=45,J290="Já existe verba aprovada para esse tema"),"Média","Baixa")))</f>
        <v/>
      </c>
      <c r="S290" s="17"/>
      <c r="T290" s="17"/>
      <c r="U290" s="17"/>
      <c r="V290" s="17"/>
      <c r="W290" s="17"/>
      <c r="X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6" t="str">
        <f aca="false">IF(K291="","",IF(AND(K291&lt;=45,OR(J291="Já existe verba aprovada para esse tema",J291="Entra no orçamento do próximo ciclo")),"Alta",IF(OR(K291&lt;=45,J291="Já existe verba aprovada para esse tema"),"Média","Baixa")))</f>
        <v/>
      </c>
      <c r="S291" s="17"/>
      <c r="T291" s="17"/>
      <c r="U291" s="17"/>
      <c r="V291" s="17"/>
      <c r="W291" s="17"/>
      <c r="X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6" t="str">
        <f aca="false">IF(K292="","",IF(AND(K292&lt;=45,OR(J292="Já existe verba aprovada para esse tema",J292="Entra no orçamento do próximo ciclo")),"Alta",IF(OR(K292&lt;=45,J292="Já existe verba aprovada para esse tema"),"Média","Baixa")))</f>
        <v/>
      </c>
      <c r="S292" s="17"/>
      <c r="T292" s="17"/>
      <c r="U292" s="17"/>
      <c r="V292" s="17"/>
      <c r="W292" s="17"/>
      <c r="X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6" t="str">
        <f aca="false">IF(K293="","",IF(AND(K293&lt;=45,OR(J293="Já existe verba aprovada para esse tema",J293="Entra no orçamento do próximo ciclo")),"Alta",IF(OR(K293&lt;=45,J293="Já existe verba aprovada para esse tema"),"Média","Baixa")))</f>
        <v/>
      </c>
      <c r="S293" s="17"/>
      <c r="T293" s="17"/>
      <c r="U293" s="17"/>
      <c r="V293" s="17"/>
      <c r="W293" s="17"/>
      <c r="X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6" t="str">
        <f aca="false">IF(K294="","",IF(AND(K294&lt;=45,OR(J294="Já existe verba aprovada para esse tema",J294="Entra no orçamento do próximo ciclo")),"Alta",IF(OR(K294&lt;=45,J294="Já existe verba aprovada para esse tema"),"Média","Baixa")))</f>
        <v/>
      </c>
      <c r="S294" s="17"/>
      <c r="T294" s="17"/>
      <c r="U294" s="17"/>
      <c r="V294" s="17"/>
      <c r="W294" s="17"/>
      <c r="X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6" t="str">
        <f aca="false">IF(K295="","",IF(AND(K295&lt;=45,OR(J295="Já existe verba aprovada para esse tema",J295="Entra no orçamento do próximo ciclo")),"Alta",IF(OR(K295&lt;=45,J295="Já existe verba aprovada para esse tema"),"Média","Baixa")))</f>
        <v/>
      </c>
      <c r="S295" s="17"/>
      <c r="T295" s="17"/>
      <c r="U295" s="17"/>
      <c r="V295" s="17"/>
      <c r="W295" s="17"/>
      <c r="X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6" t="str">
        <f aca="false">IF(K296="","",IF(AND(K296&lt;=45,OR(J296="Já existe verba aprovada para esse tema",J296="Entra no orçamento do próximo ciclo")),"Alta",IF(OR(K296&lt;=45,J296="Já existe verba aprovada para esse tema"),"Média","Baixa")))</f>
        <v/>
      </c>
      <c r="S296" s="17"/>
      <c r="T296" s="17"/>
      <c r="U296" s="17"/>
      <c r="V296" s="17"/>
      <c r="W296" s="17"/>
      <c r="X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6" t="str">
        <f aca="false">IF(K297="","",IF(AND(K297&lt;=45,OR(J297="Já existe verba aprovada para esse tema",J297="Entra no orçamento do próximo ciclo")),"Alta",IF(OR(K297&lt;=45,J297="Já existe verba aprovada para esse tema"),"Média","Baixa")))</f>
        <v/>
      </c>
      <c r="S297" s="17"/>
      <c r="T297" s="17"/>
      <c r="U297" s="17"/>
      <c r="V297" s="17"/>
      <c r="W297" s="17"/>
      <c r="X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6" t="str">
        <f aca="false">IF(K298="","",IF(AND(K298&lt;=45,OR(J298="Já existe verba aprovada para esse tema",J298="Entra no orçamento do próximo ciclo")),"Alta",IF(OR(K298&lt;=45,J298="Já existe verba aprovada para esse tema"),"Média","Baixa")))</f>
        <v/>
      </c>
      <c r="S298" s="17"/>
      <c r="T298" s="17"/>
      <c r="U298" s="17"/>
      <c r="V298" s="17"/>
      <c r="W298" s="17"/>
      <c r="X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6" t="str">
        <f aca="false">IF(K299="","",IF(AND(K299&lt;=45,OR(J299="Já existe verba aprovada para esse tema",J299="Entra no orçamento do próximo ciclo")),"Alta",IF(OR(K299&lt;=45,J299="Já existe verba aprovada para esse tema"),"Média","Baixa")))</f>
        <v/>
      </c>
      <c r="S299" s="17"/>
      <c r="T299" s="17"/>
      <c r="U299" s="17"/>
      <c r="V299" s="17"/>
      <c r="W299" s="17"/>
      <c r="X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6" t="str">
        <f aca="false">IF(K300="","",IF(AND(K300&lt;=45,OR(J300="Já existe verba aprovada para esse tema",J300="Entra no orçamento do próximo ciclo")),"Alta",IF(OR(K300&lt;=45,J300="Já existe verba aprovada para esse tema"),"Média","Baixa")))</f>
        <v/>
      </c>
      <c r="S300" s="17"/>
      <c r="T300" s="17"/>
      <c r="U300" s="17"/>
      <c r="V300" s="17"/>
      <c r="W300" s="17"/>
      <c r="X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6" t="str">
        <f aca="false">IF(K301="","",IF(AND(K301&lt;=45,OR(J301="Já existe verba aprovada para esse tema",J301="Entra no orçamento do próximo ciclo")),"Alta",IF(OR(K301&lt;=45,J301="Já existe verba aprovada para esse tema"),"Média","Baixa")))</f>
        <v/>
      </c>
      <c r="S301" s="17"/>
      <c r="T301" s="17"/>
      <c r="U301" s="17"/>
      <c r="V301" s="17"/>
      <c r="W301" s="17"/>
      <c r="X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6" t="str">
        <f aca="false">IF(K302="","",IF(AND(K302&lt;=45,OR(J302="Já existe verba aprovada para esse tema",J302="Entra no orçamento do próximo ciclo")),"Alta",IF(OR(K302&lt;=45,J302="Já existe verba aprovada para esse tema"),"Média","Baixa")))</f>
        <v/>
      </c>
      <c r="S302" s="17"/>
      <c r="T302" s="17"/>
      <c r="U302" s="17"/>
      <c r="V302" s="17"/>
      <c r="W302" s="17"/>
      <c r="X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6" t="str">
        <f aca="false">IF(K303="","",IF(AND(K303&lt;=45,OR(J303="Já existe verba aprovada para esse tema",J303="Entra no orçamento do próximo ciclo")),"Alta",IF(OR(K303&lt;=45,J303="Já existe verba aprovada para esse tema"),"Média","Baixa")))</f>
        <v/>
      </c>
      <c r="S303" s="17"/>
      <c r="T303" s="17"/>
      <c r="U303" s="17"/>
      <c r="V303" s="17"/>
      <c r="W303" s="17"/>
      <c r="X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6" t="str">
        <f aca="false">IF(K304="","",IF(AND(K304&lt;=45,OR(J304="Já existe verba aprovada para esse tema",J304="Entra no orçamento do próximo ciclo")),"Alta",IF(OR(K304&lt;=45,J304="Já existe verba aprovada para esse tema"),"Média","Baixa")))</f>
        <v/>
      </c>
      <c r="S304" s="17"/>
      <c r="T304" s="17"/>
      <c r="U304" s="17"/>
      <c r="V304" s="17"/>
      <c r="W304" s="17"/>
      <c r="X304" s="17"/>
    </row>
    <row r="305" customFormat="false" ht="15" hidden="false" customHeight="fals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6" t="str">
        <f aca="false">IF(K305="","",IF(AND(K305&lt;=45,OR(J305="Já existe verba aprovada para esse tema",J305="Entra no orçamento do próximo ciclo")),"Alta",IF(OR(K305&lt;=45,J305="Já existe verba aprovada para esse tema"),"Média","Baixa")))</f>
        <v/>
      </c>
      <c r="S305" s="17"/>
      <c r="T305" s="17"/>
      <c r="U305" s="17"/>
      <c r="V305" s="17"/>
      <c r="W305" s="17"/>
      <c r="X305" s="17"/>
    </row>
    <row r="306" customFormat="false" ht="15" hidden="false" customHeight="fals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6" t="str">
        <f aca="false">IF(K306="","",IF(AND(K306&lt;=45,OR(J306="Já existe verba aprovada para esse tema",J306="Entra no orçamento do próximo ciclo")),"Alta",IF(OR(K306&lt;=45,J306="Já existe verba aprovada para esse tema"),"Média","Baixa")))</f>
        <v/>
      </c>
      <c r="S306" s="17"/>
      <c r="T306" s="17"/>
      <c r="U306" s="17"/>
      <c r="V306" s="17"/>
      <c r="W306" s="17"/>
      <c r="X306" s="17"/>
    </row>
    <row r="307" customFormat="false" ht="15" hidden="false" customHeight="fals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6" t="str">
        <f aca="false">IF(K307="","",IF(AND(K307&lt;=45,OR(J307="Já existe verba aprovada para esse tema",J307="Entra no orçamento do próximo ciclo")),"Alta",IF(OR(K307&lt;=45,J307="Já existe verba aprovada para esse tema"),"Média","Baixa")))</f>
        <v/>
      </c>
      <c r="S307" s="17"/>
      <c r="T307" s="17"/>
      <c r="U307" s="17"/>
      <c r="V307" s="17"/>
      <c r="W307" s="17"/>
      <c r="X307" s="17"/>
    </row>
    <row r="308" customFormat="false" ht="15" hidden="false" customHeight="fals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6" t="str">
        <f aca="false">IF(K308="","",IF(AND(K308&lt;=45,OR(J308="Já existe verba aprovada para esse tema",J308="Entra no orçamento do próximo ciclo")),"Alta",IF(OR(K308&lt;=45,J308="Já existe verba aprovada para esse tema"),"Média","Baixa")))</f>
        <v/>
      </c>
      <c r="S308" s="17"/>
      <c r="T308" s="17"/>
      <c r="U308" s="17"/>
      <c r="V308" s="17"/>
      <c r="W308" s="17"/>
      <c r="X308" s="17"/>
    </row>
    <row r="309" customFormat="false" ht="15" hidden="false" customHeight="fals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6" t="str">
        <f aca="false">IF(K309="","",IF(AND(K309&lt;=45,OR(J309="Já existe verba aprovada para esse tema",J309="Entra no orçamento do próximo ciclo")),"Alta",IF(OR(K309&lt;=45,J309="Já existe verba aprovada para esse tema"),"Média","Baixa")))</f>
        <v/>
      </c>
      <c r="S309" s="17"/>
      <c r="T309" s="17"/>
      <c r="U309" s="17"/>
      <c r="V309" s="17"/>
      <c r="W309" s="17"/>
      <c r="X309" s="17"/>
    </row>
    <row r="310" customFormat="false" ht="15" hidden="false" customHeight="fals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6" t="str">
        <f aca="false">IF(K310="","",IF(AND(K310&lt;=45,OR(J310="Já existe verba aprovada para esse tema",J310="Entra no orçamento do próximo ciclo")),"Alta",IF(OR(K310&lt;=45,J310="Já existe verba aprovada para esse tema"),"Média","Baixa")))</f>
        <v/>
      </c>
      <c r="S310" s="17"/>
      <c r="T310" s="17"/>
      <c r="U310" s="17"/>
      <c r="V310" s="17"/>
      <c r="W310" s="17"/>
      <c r="X310" s="17"/>
    </row>
    <row r="311" customFormat="false" ht="15" hidden="false" customHeight="fals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6" t="str">
        <f aca="false">IF(K311="","",IF(AND(K311&lt;=45,OR(J311="Já existe verba aprovada para esse tema",J311="Entra no orçamento do próximo ciclo")),"Alta",IF(OR(K311&lt;=45,J311="Já existe verba aprovada para esse tema"),"Média","Baixa")))</f>
        <v/>
      </c>
      <c r="S311" s="17"/>
      <c r="T311" s="17"/>
      <c r="U311" s="17"/>
      <c r="V311" s="17"/>
      <c r="W311" s="17"/>
      <c r="X311" s="17"/>
    </row>
    <row r="312" customFormat="false" ht="15" hidden="false" customHeight="fals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6" t="str">
        <f aca="false">IF(K312="","",IF(AND(K312&lt;=45,OR(J312="Já existe verba aprovada para esse tema",J312="Entra no orçamento do próximo ciclo")),"Alta",IF(OR(K312&lt;=45,J312="Já existe verba aprovada para esse tema"),"Média","Baixa")))</f>
        <v/>
      </c>
      <c r="S312" s="17"/>
      <c r="T312" s="17"/>
      <c r="U312" s="17"/>
      <c r="V312" s="17"/>
      <c r="W312" s="17"/>
      <c r="X312" s="17"/>
    </row>
    <row r="313" customFormat="false" ht="15" hidden="false" customHeight="fals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6" t="str">
        <f aca="false">IF(K313="","",IF(AND(K313&lt;=45,OR(J313="Já existe verba aprovada para esse tema",J313="Entra no orçamento do próximo ciclo")),"Alta",IF(OR(K313&lt;=45,J313="Já existe verba aprovada para esse tema"),"Média","Baixa")))</f>
        <v/>
      </c>
      <c r="S313" s="17"/>
      <c r="T313" s="17"/>
      <c r="U313" s="17"/>
      <c r="V313" s="17"/>
      <c r="W313" s="17"/>
      <c r="X313" s="17"/>
    </row>
    <row r="314" customFormat="false" ht="15" hidden="false" customHeight="fals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6" t="str">
        <f aca="false">IF(K314="","",IF(AND(K314&lt;=45,OR(J314="Já existe verba aprovada para esse tema",J314="Entra no orçamento do próximo ciclo")),"Alta",IF(OR(K314&lt;=45,J314="Já existe verba aprovada para esse tema"),"Média","Baixa")))</f>
        <v/>
      </c>
      <c r="S314" s="17"/>
      <c r="T314" s="17"/>
      <c r="U314" s="17"/>
      <c r="V314" s="17"/>
      <c r="W314" s="17"/>
      <c r="X314" s="17"/>
    </row>
    <row r="315" customFormat="false" ht="15" hidden="false" customHeight="fals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6" t="str">
        <f aca="false">IF(K315="","",IF(AND(K315&lt;=45,OR(J315="Já existe verba aprovada para esse tema",J315="Entra no orçamento do próximo ciclo")),"Alta",IF(OR(K315&lt;=45,J315="Já existe verba aprovada para esse tema"),"Média","Baixa")))</f>
        <v/>
      </c>
      <c r="S315" s="17"/>
      <c r="T315" s="17"/>
      <c r="U315" s="17"/>
      <c r="V315" s="17"/>
      <c r="W315" s="17"/>
      <c r="X315" s="17"/>
    </row>
    <row r="316" customFormat="false" ht="15" hidden="false" customHeight="fals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6" t="str">
        <f aca="false">IF(K316="","",IF(AND(K316&lt;=45,OR(J316="Já existe verba aprovada para esse tema",J316="Entra no orçamento do próximo ciclo")),"Alta",IF(OR(K316&lt;=45,J316="Já existe verba aprovada para esse tema"),"Média","Baixa")))</f>
        <v/>
      </c>
      <c r="S316" s="17"/>
      <c r="T316" s="17"/>
      <c r="U316" s="17"/>
      <c r="V316" s="17"/>
      <c r="W316" s="17"/>
      <c r="X316" s="17"/>
    </row>
    <row r="317" customFormat="false" ht="15" hidden="false" customHeight="fals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6" t="str">
        <f aca="false">IF(K317="","",IF(AND(K317&lt;=45,OR(J317="Já existe verba aprovada para esse tema",J317="Entra no orçamento do próximo ciclo")),"Alta",IF(OR(K317&lt;=45,J317="Já existe verba aprovada para esse tema"),"Média","Baixa")))</f>
        <v/>
      </c>
      <c r="S317" s="17"/>
      <c r="T317" s="17"/>
      <c r="U317" s="17"/>
      <c r="V317" s="17"/>
      <c r="W317" s="17"/>
      <c r="X317" s="17"/>
    </row>
    <row r="318" customFormat="false" ht="15" hidden="false" customHeight="fals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6" t="str">
        <f aca="false">IF(K318="","",IF(AND(K318&lt;=45,OR(J318="Já existe verba aprovada para esse tema",J318="Entra no orçamento do próximo ciclo")),"Alta",IF(OR(K318&lt;=45,J318="Já existe verba aprovada para esse tema"),"Média","Baixa")))</f>
        <v/>
      </c>
      <c r="S318" s="17"/>
      <c r="T318" s="17"/>
      <c r="U318" s="17"/>
      <c r="V318" s="17"/>
      <c r="W318" s="17"/>
      <c r="X318" s="17"/>
    </row>
    <row r="319" customFormat="false" ht="15" hidden="false" customHeight="fals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6" t="str">
        <f aca="false">IF(K319="","",IF(AND(K319&lt;=45,OR(J319="Já existe verba aprovada para esse tema",J319="Entra no orçamento do próximo ciclo")),"Alta",IF(OR(K319&lt;=45,J319="Já existe verba aprovada para esse tema"),"Média","Baixa")))</f>
        <v/>
      </c>
      <c r="S319" s="17"/>
      <c r="T319" s="17"/>
      <c r="U319" s="17"/>
      <c r="V319" s="17"/>
      <c r="W319" s="17"/>
      <c r="X319" s="17"/>
    </row>
    <row r="320" customFormat="false" ht="15" hidden="false" customHeight="fals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6" t="str">
        <f aca="false">IF(K320="","",IF(AND(K320&lt;=45,OR(J320="Já existe verba aprovada para esse tema",J320="Entra no orçamento do próximo ciclo")),"Alta",IF(OR(K320&lt;=45,J320="Já existe verba aprovada para esse tema"),"Média","Baixa")))</f>
        <v/>
      </c>
      <c r="S320" s="17"/>
      <c r="T320" s="17"/>
      <c r="U320" s="17"/>
      <c r="V320" s="17"/>
      <c r="W320" s="17"/>
      <c r="X320" s="17"/>
    </row>
    <row r="321" customFormat="false" ht="15" hidden="false" customHeight="fals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6" t="str">
        <f aca="false">IF(K321="","",IF(AND(K321&lt;=45,OR(J321="Já existe verba aprovada para esse tema",J321="Entra no orçamento do próximo ciclo")),"Alta",IF(OR(K321&lt;=45,J321="Já existe verba aprovada para esse tema"),"Média","Baixa")))</f>
        <v/>
      </c>
      <c r="S321" s="17"/>
      <c r="T321" s="17"/>
      <c r="U321" s="17"/>
      <c r="V321" s="17"/>
      <c r="W321" s="17"/>
      <c r="X321" s="17"/>
    </row>
    <row r="322" customFormat="false" ht="15" hidden="false" customHeight="fals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6" t="str">
        <f aca="false">IF(K322="","",IF(AND(K322&lt;=45,OR(J322="Já existe verba aprovada para esse tema",J322="Entra no orçamento do próximo ciclo")),"Alta",IF(OR(K322&lt;=45,J322="Já existe verba aprovada para esse tema"),"Média","Baixa")))</f>
        <v/>
      </c>
      <c r="S322" s="17"/>
      <c r="T322" s="17"/>
      <c r="U322" s="17"/>
      <c r="V322" s="17"/>
      <c r="W322" s="17"/>
      <c r="X322" s="17"/>
    </row>
    <row r="323" customFormat="false" ht="15" hidden="false" customHeight="fals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6" t="str">
        <f aca="false">IF(K323="","",IF(AND(K323&lt;=45,OR(J323="Já existe verba aprovada para esse tema",J323="Entra no orçamento do próximo ciclo")),"Alta",IF(OR(K323&lt;=45,J323="Já existe verba aprovada para esse tema"),"Média","Baixa")))</f>
        <v/>
      </c>
      <c r="S323" s="17"/>
      <c r="T323" s="17"/>
      <c r="U323" s="17"/>
      <c r="V323" s="17"/>
      <c r="W323" s="17"/>
      <c r="X323" s="17"/>
    </row>
    <row r="324" customFormat="false" ht="15" hidden="false" customHeight="fals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6" t="str">
        <f aca="false">IF(K324="","",IF(AND(K324&lt;=45,OR(J324="Já existe verba aprovada para esse tema",J324="Entra no orçamento do próximo ciclo")),"Alta",IF(OR(K324&lt;=45,J324="Já existe verba aprovada para esse tema"),"Média","Baixa")))</f>
        <v/>
      </c>
      <c r="S324" s="17"/>
      <c r="T324" s="17"/>
      <c r="U324" s="17"/>
      <c r="V324" s="17"/>
      <c r="W324" s="17"/>
      <c r="X324" s="17"/>
    </row>
    <row r="325" customFormat="false" ht="15" hidden="false" customHeight="fals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6" t="str">
        <f aca="false">IF(K325="","",IF(AND(K325&lt;=45,OR(J325="Já existe verba aprovada para esse tema",J325="Entra no orçamento do próximo ciclo")),"Alta",IF(OR(K325&lt;=45,J325="Já existe verba aprovada para esse tema"),"Média","Baixa")))</f>
        <v/>
      </c>
      <c r="S325" s="17"/>
      <c r="T325" s="17"/>
      <c r="U325" s="17"/>
      <c r="V325" s="17"/>
      <c r="W325" s="17"/>
      <c r="X325" s="17"/>
    </row>
    <row r="326" customFormat="false" ht="15" hidden="false" customHeight="fals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6" t="str">
        <f aca="false">IF(K326="","",IF(AND(K326&lt;=45,OR(J326="Já existe verba aprovada para esse tema",J326="Entra no orçamento do próximo ciclo")),"Alta",IF(OR(K326&lt;=45,J326="Já existe verba aprovada para esse tema"),"Média","Baixa")))</f>
        <v/>
      </c>
      <c r="S326" s="17"/>
      <c r="T326" s="17"/>
      <c r="U326" s="17"/>
      <c r="V326" s="17"/>
      <c r="W326" s="17"/>
      <c r="X326" s="17"/>
    </row>
    <row r="327" customFormat="false" ht="15" hidden="false" customHeight="fals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6" t="str">
        <f aca="false">IF(K327="","",IF(AND(K327&lt;=45,OR(J327="Já existe verba aprovada para esse tema",J327="Entra no orçamento do próximo ciclo")),"Alta",IF(OR(K327&lt;=45,J327="Já existe verba aprovada para esse tema"),"Média","Baixa")))</f>
        <v/>
      </c>
      <c r="S327" s="17"/>
      <c r="T327" s="17"/>
      <c r="U327" s="17"/>
      <c r="V327" s="17"/>
      <c r="W327" s="17"/>
      <c r="X327" s="17"/>
    </row>
    <row r="328" customFormat="false" ht="15" hidden="false" customHeight="fals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6" t="str">
        <f aca="false">IF(K328="","",IF(AND(K328&lt;=45,OR(J328="Já existe verba aprovada para esse tema",J328="Entra no orçamento do próximo ciclo")),"Alta",IF(OR(K328&lt;=45,J328="Já existe verba aprovada para esse tema"),"Média","Baixa")))</f>
        <v/>
      </c>
      <c r="S328" s="17"/>
      <c r="T328" s="17"/>
      <c r="U328" s="17"/>
      <c r="V328" s="17"/>
      <c r="W328" s="17"/>
      <c r="X328" s="17"/>
    </row>
    <row r="329" customFormat="false" ht="15" hidden="false" customHeight="fals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6" t="str">
        <f aca="false">IF(K329="","",IF(AND(K329&lt;=45,OR(J329="Já existe verba aprovada para esse tema",J329="Entra no orçamento do próximo ciclo")),"Alta",IF(OR(K329&lt;=45,J329="Já existe verba aprovada para esse tema"),"Média","Baixa")))</f>
        <v/>
      </c>
      <c r="S329" s="17"/>
      <c r="T329" s="17"/>
      <c r="U329" s="17"/>
      <c r="V329" s="17"/>
      <c r="W329" s="17"/>
      <c r="X329" s="17"/>
    </row>
    <row r="330" customFormat="false" ht="15" hidden="false" customHeight="fals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6" t="str">
        <f aca="false">IF(K330="","",IF(AND(K330&lt;=45,OR(J330="Já existe verba aprovada para esse tema",J330="Entra no orçamento do próximo ciclo")),"Alta",IF(OR(K330&lt;=45,J330="Já existe verba aprovada para esse tema"),"Média","Baixa")))</f>
        <v/>
      </c>
      <c r="S330" s="17"/>
      <c r="T330" s="17"/>
      <c r="U330" s="17"/>
      <c r="V330" s="17"/>
      <c r="W330" s="17"/>
      <c r="X330" s="17"/>
    </row>
    <row r="331" customFormat="false" ht="15" hidden="false" customHeight="fals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6" t="str">
        <f aca="false">IF(K331="","",IF(AND(K331&lt;=45,OR(J331="Já existe verba aprovada para esse tema",J331="Entra no orçamento do próximo ciclo")),"Alta",IF(OR(K331&lt;=45,J331="Já existe verba aprovada para esse tema"),"Média","Baixa")))</f>
        <v/>
      </c>
      <c r="S331" s="17"/>
      <c r="T331" s="17"/>
      <c r="U331" s="17"/>
      <c r="V331" s="17"/>
      <c r="W331" s="17"/>
      <c r="X331" s="17"/>
    </row>
    <row r="332" customFormat="false" ht="15" hidden="false" customHeight="fals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6" t="str">
        <f aca="false">IF(K332="","",IF(AND(K332&lt;=45,OR(J332="Já existe verba aprovada para esse tema",J332="Entra no orçamento do próximo ciclo")),"Alta",IF(OR(K332&lt;=45,J332="Já existe verba aprovada para esse tema"),"Média","Baixa")))</f>
        <v/>
      </c>
      <c r="S332" s="17"/>
      <c r="T332" s="17"/>
      <c r="U332" s="17"/>
      <c r="V332" s="17"/>
      <c r="W332" s="17"/>
      <c r="X332" s="17"/>
    </row>
    <row r="333" customFormat="false" ht="15" hidden="false" customHeight="fals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6" t="str">
        <f aca="false">IF(K333="","",IF(AND(K333&lt;=45,OR(J333="Já existe verba aprovada para esse tema",J333="Entra no orçamento do próximo ciclo")),"Alta",IF(OR(K333&lt;=45,J333="Já existe verba aprovada para esse tema"),"Média","Baixa")))</f>
        <v/>
      </c>
      <c r="S333" s="17"/>
      <c r="T333" s="17"/>
      <c r="U333" s="17"/>
      <c r="V333" s="17"/>
      <c r="W333" s="17"/>
      <c r="X333" s="17"/>
    </row>
    <row r="334" customFormat="false" ht="15" hidden="false" customHeight="fals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6" t="str">
        <f aca="false">IF(K334="","",IF(AND(K334&lt;=45,OR(J334="Já existe verba aprovada para esse tema",J334="Entra no orçamento do próximo ciclo")),"Alta",IF(OR(K334&lt;=45,J334="Já existe verba aprovada para esse tema"),"Média","Baixa")))</f>
        <v/>
      </c>
      <c r="S334" s="17"/>
      <c r="T334" s="17"/>
      <c r="U334" s="17"/>
      <c r="V334" s="17"/>
      <c r="W334" s="17"/>
      <c r="X334" s="17"/>
    </row>
    <row r="335" customFormat="false" ht="15" hidden="false" customHeight="fals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6" t="str">
        <f aca="false">IF(K335="","",IF(AND(K335&lt;=45,OR(J335="Já existe verba aprovada para esse tema",J335="Entra no orçamento do próximo ciclo")),"Alta",IF(OR(K335&lt;=45,J335="Já existe verba aprovada para esse tema"),"Média","Baixa")))</f>
        <v/>
      </c>
      <c r="S335" s="17"/>
      <c r="T335" s="17"/>
      <c r="U335" s="17"/>
      <c r="V335" s="17"/>
      <c r="W335" s="17"/>
      <c r="X335" s="17"/>
    </row>
    <row r="336" customFormat="false" ht="15" hidden="false" customHeight="fals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6" t="str">
        <f aca="false">IF(K336="","",IF(AND(K336&lt;=45,OR(J336="Já existe verba aprovada para esse tema",J336="Entra no orçamento do próximo ciclo")),"Alta",IF(OR(K336&lt;=45,J336="Já existe verba aprovada para esse tema"),"Média","Baixa")))</f>
        <v/>
      </c>
      <c r="S336" s="17"/>
      <c r="T336" s="17"/>
      <c r="U336" s="17"/>
      <c r="V336" s="17"/>
      <c r="W336" s="17"/>
      <c r="X336" s="17"/>
    </row>
    <row r="337" customFormat="false" ht="15" hidden="false" customHeight="fals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6" t="str">
        <f aca="false">IF(K337="","",IF(AND(K337&lt;=45,OR(J337="Já existe verba aprovada para esse tema",J337="Entra no orçamento do próximo ciclo")),"Alta",IF(OR(K337&lt;=45,J337="Já existe verba aprovada para esse tema"),"Média","Baixa")))</f>
        <v/>
      </c>
      <c r="S337" s="17"/>
      <c r="T337" s="17"/>
      <c r="U337" s="17"/>
      <c r="V337" s="17"/>
      <c r="W337" s="17"/>
      <c r="X337" s="17"/>
    </row>
    <row r="338" customFormat="false" ht="15" hidden="false" customHeight="fals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6" t="str">
        <f aca="false">IF(K338="","",IF(AND(K338&lt;=45,OR(J338="Já existe verba aprovada para esse tema",J338="Entra no orçamento do próximo ciclo")),"Alta",IF(OR(K338&lt;=45,J338="Já existe verba aprovada para esse tema"),"Média","Baixa")))</f>
        <v/>
      </c>
      <c r="S338" s="17"/>
      <c r="T338" s="17"/>
      <c r="U338" s="17"/>
      <c r="V338" s="17"/>
      <c r="W338" s="17"/>
      <c r="X338" s="17"/>
    </row>
    <row r="339" customFormat="false" ht="15" hidden="false" customHeight="fals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6" t="str">
        <f aca="false">IF(K339="","",IF(AND(K339&lt;=45,OR(J339="Já existe verba aprovada para esse tema",J339="Entra no orçamento do próximo ciclo")),"Alta",IF(OR(K339&lt;=45,J339="Já existe verba aprovada para esse tema"),"Média","Baixa")))</f>
        <v/>
      </c>
      <c r="S339" s="17"/>
      <c r="T339" s="17"/>
      <c r="U339" s="17"/>
      <c r="V339" s="17"/>
      <c r="W339" s="17"/>
      <c r="X339" s="17"/>
    </row>
    <row r="340" customFormat="false" ht="15" hidden="false" customHeight="fals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6" t="str">
        <f aca="false">IF(K340="","",IF(AND(K340&lt;=45,OR(J340="Já existe verba aprovada para esse tema",J340="Entra no orçamento do próximo ciclo")),"Alta",IF(OR(K340&lt;=45,J340="Já existe verba aprovada para esse tema"),"Média","Baixa")))</f>
        <v/>
      </c>
      <c r="S340" s="17"/>
      <c r="T340" s="17"/>
      <c r="U340" s="17"/>
      <c r="V340" s="17"/>
      <c r="W340" s="17"/>
      <c r="X340" s="17"/>
    </row>
    <row r="341" customFormat="false" ht="15" hidden="false" customHeight="fals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6" t="str">
        <f aca="false">IF(K341="","",IF(AND(K341&lt;=45,OR(J341="Já existe verba aprovada para esse tema",J341="Entra no orçamento do próximo ciclo")),"Alta",IF(OR(K341&lt;=45,J341="Já existe verba aprovada para esse tema"),"Média","Baixa")))</f>
        <v/>
      </c>
      <c r="S341" s="17"/>
      <c r="T341" s="17"/>
      <c r="U341" s="17"/>
      <c r="V341" s="17"/>
      <c r="W341" s="17"/>
      <c r="X341" s="17"/>
    </row>
    <row r="342" customFormat="false" ht="15" hidden="false" customHeight="fals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6" t="str">
        <f aca="false">IF(K342="","",IF(AND(K342&lt;=45,OR(J342="Já existe verba aprovada para esse tema",J342="Entra no orçamento do próximo ciclo")),"Alta",IF(OR(K342&lt;=45,J342="Já existe verba aprovada para esse tema"),"Média","Baixa")))</f>
        <v/>
      </c>
      <c r="S342" s="17"/>
      <c r="T342" s="17"/>
      <c r="U342" s="17"/>
      <c r="V342" s="17"/>
      <c r="W342" s="17"/>
      <c r="X342" s="17"/>
    </row>
    <row r="343" customFormat="false" ht="15" hidden="false" customHeight="fals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6" t="str">
        <f aca="false">IF(K343="","",IF(AND(K343&lt;=45,OR(J343="Já existe verba aprovada para esse tema",J343="Entra no orçamento do próximo ciclo")),"Alta",IF(OR(K343&lt;=45,J343="Já existe verba aprovada para esse tema"),"Média","Baixa")))</f>
        <v/>
      </c>
      <c r="S343" s="17"/>
      <c r="T343" s="17"/>
      <c r="U343" s="17"/>
      <c r="V343" s="17"/>
      <c r="W343" s="17"/>
      <c r="X343" s="17"/>
    </row>
    <row r="344" customFormat="false" ht="15" hidden="false" customHeight="fals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6" t="str">
        <f aca="false">IF(K344="","",IF(AND(K344&lt;=45,OR(J344="Já existe verba aprovada para esse tema",J344="Entra no orçamento do próximo ciclo")),"Alta",IF(OR(K344&lt;=45,J344="Já existe verba aprovada para esse tema"),"Média","Baixa")))</f>
        <v/>
      </c>
      <c r="S344" s="17"/>
      <c r="T344" s="17"/>
      <c r="U344" s="17"/>
      <c r="V344" s="17"/>
      <c r="W344" s="17"/>
      <c r="X344" s="17"/>
    </row>
    <row r="345" customFormat="false" ht="15" hidden="false" customHeight="fals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6" t="str">
        <f aca="false">IF(K345="","",IF(AND(K345&lt;=45,OR(J345="Já existe verba aprovada para esse tema",J345="Entra no orçamento do próximo ciclo")),"Alta",IF(OR(K345&lt;=45,J345="Já existe verba aprovada para esse tema"),"Média","Baixa")))</f>
        <v/>
      </c>
      <c r="S345" s="17"/>
      <c r="T345" s="17"/>
      <c r="U345" s="17"/>
      <c r="V345" s="17"/>
      <c r="W345" s="17"/>
      <c r="X345" s="17"/>
    </row>
    <row r="346" customFormat="false" ht="15" hidden="false" customHeight="fals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6" t="str">
        <f aca="false">IF(K346="","",IF(AND(K346&lt;=45,OR(J346="Já existe verba aprovada para esse tema",J346="Entra no orçamento do próximo ciclo")),"Alta",IF(OR(K346&lt;=45,J346="Já existe verba aprovada para esse tema"),"Média","Baixa")))</f>
        <v/>
      </c>
      <c r="S346" s="17"/>
      <c r="T346" s="17"/>
      <c r="U346" s="17"/>
      <c r="V346" s="17"/>
      <c r="W346" s="17"/>
      <c r="X346" s="17"/>
    </row>
    <row r="347" customFormat="false" ht="15" hidden="false" customHeight="fals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6" t="str">
        <f aca="false">IF(K347="","",IF(AND(K347&lt;=45,OR(J347="Já existe verba aprovada para esse tema",J347="Entra no orçamento do próximo ciclo")),"Alta",IF(OR(K347&lt;=45,J347="Já existe verba aprovada para esse tema"),"Média","Baixa")))</f>
        <v/>
      </c>
      <c r="S347" s="17"/>
      <c r="T347" s="17"/>
      <c r="U347" s="17"/>
      <c r="V347" s="17"/>
      <c r="W347" s="17"/>
      <c r="X347" s="17"/>
    </row>
    <row r="348" customFormat="false" ht="15" hidden="false" customHeight="fals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6" t="str">
        <f aca="false">IF(K348="","",IF(AND(K348&lt;=45,OR(J348="Já existe verba aprovada para esse tema",J348="Entra no orçamento do próximo ciclo")),"Alta",IF(OR(K348&lt;=45,J348="Já existe verba aprovada para esse tema"),"Média","Baixa")))</f>
        <v/>
      </c>
      <c r="S348" s="17"/>
      <c r="T348" s="17"/>
      <c r="U348" s="17"/>
      <c r="V348" s="17"/>
      <c r="W348" s="17"/>
      <c r="X348" s="17"/>
    </row>
    <row r="349" customFormat="false" ht="15" hidden="false" customHeight="fals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6" t="str">
        <f aca="false">IF(K349="","",IF(AND(K349&lt;=45,OR(J349="Já existe verba aprovada para esse tema",J349="Entra no orçamento do próximo ciclo")),"Alta",IF(OR(K349&lt;=45,J349="Já existe verba aprovada para esse tema"),"Média","Baixa")))</f>
        <v/>
      </c>
      <c r="S349" s="17"/>
      <c r="T349" s="17"/>
      <c r="U349" s="17"/>
      <c r="V349" s="17"/>
      <c r="W349" s="17"/>
      <c r="X349" s="17"/>
    </row>
    <row r="350" customFormat="false" ht="15" hidden="false" customHeight="fals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6" t="str">
        <f aca="false">IF(K350="","",IF(AND(K350&lt;=45,OR(J350="Já existe verba aprovada para esse tema",J350="Entra no orçamento do próximo ciclo")),"Alta",IF(OR(K350&lt;=45,J350="Já existe verba aprovada para esse tema"),"Média","Baixa")))</f>
        <v/>
      </c>
      <c r="S350" s="17"/>
      <c r="T350" s="17"/>
      <c r="U350" s="17"/>
      <c r="V350" s="17"/>
      <c r="W350" s="17"/>
      <c r="X350" s="17"/>
    </row>
    <row r="351" customFormat="false" ht="15" hidden="false" customHeight="fals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6" t="str">
        <f aca="false">IF(K351="","",IF(AND(K351&lt;=45,OR(J351="Já existe verba aprovada para esse tema",J351="Entra no orçamento do próximo ciclo")),"Alta",IF(OR(K351&lt;=45,J351="Já existe verba aprovada para esse tema"),"Média","Baixa")))</f>
        <v/>
      </c>
      <c r="S351" s="17"/>
      <c r="T351" s="17"/>
      <c r="U351" s="17"/>
      <c r="V351" s="17"/>
      <c r="W351" s="17"/>
      <c r="X351" s="17"/>
    </row>
    <row r="352" customFormat="false" ht="15" hidden="false" customHeight="fals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6" t="str">
        <f aca="false">IF(K352="","",IF(AND(K352&lt;=45,OR(J352="Já existe verba aprovada para esse tema",J352="Entra no orçamento do próximo ciclo")),"Alta",IF(OR(K352&lt;=45,J352="Já existe verba aprovada para esse tema"),"Média","Baixa")))</f>
        <v/>
      </c>
      <c r="S352" s="17"/>
      <c r="T352" s="17"/>
      <c r="U352" s="17"/>
      <c r="V352" s="17"/>
      <c r="W352" s="17"/>
      <c r="X352" s="17"/>
    </row>
    <row r="353" customFormat="false" ht="15" hidden="false" customHeight="fals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6" t="str">
        <f aca="false">IF(K353="","",IF(AND(K353&lt;=45,OR(J353="Já existe verba aprovada para esse tema",J353="Entra no orçamento do próximo ciclo")),"Alta",IF(OR(K353&lt;=45,J353="Já existe verba aprovada para esse tema"),"Média","Baixa")))</f>
        <v/>
      </c>
      <c r="S353" s="17"/>
      <c r="T353" s="17"/>
      <c r="U353" s="17"/>
      <c r="V353" s="17"/>
      <c r="W353" s="17"/>
      <c r="X353" s="17"/>
    </row>
    <row r="354" customFormat="false" ht="15" hidden="false" customHeight="fals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6" t="str">
        <f aca="false">IF(K354="","",IF(AND(K354&lt;=45,OR(J354="Já existe verba aprovada para esse tema",J354="Entra no orçamento do próximo ciclo")),"Alta",IF(OR(K354&lt;=45,J354="Já existe verba aprovada para esse tema"),"Média","Baixa")))</f>
        <v/>
      </c>
      <c r="S354" s="17"/>
      <c r="T354" s="17"/>
      <c r="U354" s="17"/>
      <c r="V354" s="17"/>
      <c r="W354" s="17"/>
      <c r="X354" s="17"/>
    </row>
    <row r="355" customFormat="false" ht="15" hidden="false" customHeight="fals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6" t="str">
        <f aca="false">IF(K355="","",IF(AND(K355&lt;=45,OR(J355="Já existe verba aprovada para esse tema",J355="Entra no orçamento do próximo ciclo")),"Alta",IF(OR(K355&lt;=45,J355="Já existe verba aprovada para esse tema"),"Média","Baixa")))</f>
        <v/>
      </c>
      <c r="S355" s="17"/>
      <c r="T355" s="17"/>
      <c r="U355" s="17"/>
      <c r="V355" s="17"/>
      <c r="W355" s="17"/>
      <c r="X355" s="17"/>
    </row>
    <row r="356" customFormat="false" ht="15" hidden="false" customHeight="fals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6" t="str">
        <f aca="false">IF(K356="","",IF(AND(K356&lt;=45,OR(J356="Já existe verba aprovada para esse tema",J356="Entra no orçamento do próximo ciclo")),"Alta",IF(OR(K356&lt;=45,J356="Já existe verba aprovada para esse tema"),"Média","Baixa")))</f>
        <v/>
      </c>
      <c r="S356" s="17"/>
      <c r="T356" s="17"/>
      <c r="U356" s="17"/>
      <c r="V356" s="17"/>
      <c r="W356" s="17"/>
      <c r="X356" s="17"/>
    </row>
    <row r="357" customFormat="false" ht="15" hidden="false" customHeight="fals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6" t="str">
        <f aca="false">IF(K357="","",IF(AND(K357&lt;=45,OR(J357="Já existe verba aprovada para esse tema",J357="Entra no orçamento do próximo ciclo")),"Alta",IF(OR(K357&lt;=45,J357="Já existe verba aprovada para esse tema"),"Média","Baixa")))</f>
        <v/>
      </c>
      <c r="S357" s="17"/>
      <c r="T357" s="17"/>
      <c r="U357" s="17"/>
      <c r="V357" s="17"/>
      <c r="W357" s="17"/>
      <c r="X357" s="17"/>
    </row>
    <row r="358" customFormat="false" ht="15" hidden="false" customHeight="fals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6" t="str">
        <f aca="false">IF(K358="","",IF(AND(K358&lt;=45,OR(J358="Já existe verba aprovada para esse tema",J358="Entra no orçamento do próximo ciclo")),"Alta",IF(OR(K358&lt;=45,J358="Já existe verba aprovada para esse tema"),"Média","Baixa")))</f>
        <v/>
      </c>
      <c r="S358" s="17"/>
      <c r="T358" s="17"/>
      <c r="U358" s="17"/>
      <c r="V358" s="17"/>
      <c r="W358" s="17"/>
      <c r="X358" s="17"/>
    </row>
    <row r="359" customFormat="false" ht="15" hidden="false" customHeight="fals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6" t="str">
        <f aca="false">IF(K359="","",IF(AND(K359&lt;=45,OR(J359="Já existe verba aprovada para esse tema",J359="Entra no orçamento do próximo ciclo")),"Alta",IF(OR(K359&lt;=45,J359="Já existe verba aprovada para esse tema"),"Média","Baixa")))</f>
        <v/>
      </c>
      <c r="S359" s="17"/>
      <c r="T359" s="17"/>
      <c r="U359" s="17"/>
      <c r="V359" s="17"/>
      <c r="W359" s="17"/>
      <c r="X359" s="17"/>
    </row>
    <row r="360" customFormat="false" ht="15" hidden="false" customHeight="fals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6" t="str">
        <f aca="false">IF(K360="","",IF(AND(K360&lt;=45,OR(J360="Já existe verba aprovada para esse tema",J360="Entra no orçamento do próximo ciclo")),"Alta",IF(OR(K360&lt;=45,J360="Já existe verba aprovada para esse tema"),"Média","Baixa")))</f>
        <v/>
      </c>
      <c r="S360" s="17"/>
      <c r="T360" s="17"/>
      <c r="U360" s="17"/>
      <c r="V360" s="17"/>
      <c r="W360" s="17"/>
      <c r="X360" s="17"/>
    </row>
    <row r="361" customFormat="false" ht="15" hidden="false" customHeight="fals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6" t="str">
        <f aca="false">IF(K361="","",IF(AND(K361&lt;=45,OR(J361="Já existe verba aprovada para esse tema",J361="Entra no orçamento do próximo ciclo")),"Alta",IF(OR(K361&lt;=45,J361="Já existe verba aprovada para esse tema"),"Média","Baixa")))</f>
        <v/>
      </c>
      <c r="S361" s="17"/>
      <c r="T361" s="17"/>
      <c r="U361" s="17"/>
      <c r="V361" s="17"/>
      <c r="W361" s="17"/>
      <c r="X361" s="17"/>
    </row>
    <row r="362" customFormat="false" ht="15" hidden="false" customHeight="fals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6" t="str">
        <f aca="false">IF(K362="","",IF(AND(K362&lt;=45,OR(J362="Já existe verba aprovada para esse tema",J362="Entra no orçamento do próximo ciclo")),"Alta",IF(OR(K362&lt;=45,J362="Já existe verba aprovada para esse tema"),"Média","Baixa")))</f>
        <v/>
      </c>
      <c r="S362" s="17"/>
      <c r="T362" s="17"/>
      <c r="U362" s="17"/>
      <c r="V362" s="17"/>
      <c r="W362" s="17"/>
      <c r="X362" s="17"/>
    </row>
    <row r="363" customFormat="false" ht="15" hidden="false" customHeight="fals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6" t="str">
        <f aca="false">IF(K363="","",IF(AND(K363&lt;=45,OR(J363="Já existe verba aprovada para esse tema",J363="Entra no orçamento do próximo ciclo")),"Alta",IF(OR(K363&lt;=45,J363="Já existe verba aprovada para esse tema"),"Média","Baixa")))</f>
        <v/>
      </c>
      <c r="S363" s="17"/>
      <c r="T363" s="17"/>
      <c r="U363" s="17"/>
      <c r="V363" s="17"/>
      <c r="W363" s="17"/>
      <c r="X363" s="17"/>
    </row>
    <row r="364" customFormat="false" ht="15" hidden="false" customHeight="fals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6" t="str">
        <f aca="false">IF(K364="","",IF(AND(K364&lt;=45,OR(J364="Já existe verba aprovada para esse tema",J364="Entra no orçamento do próximo ciclo")),"Alta",IF(OR(K364&lt;=45,J364="Já existe verba aprovada para esse tema"),"Média","Baixa")))</f>
        <v/>
      </c>
      <c r="S364" s="17"/>
      <c r="T364" s="17"/>
      <c r="U364" s="17"/>
      <c r="V364" s="17"/>
      <c r="W364" s="17"/>
      <c r="X364" s="17"/>
    </row>
    <row r="365" customFormat="false" ht="15" hidden="false" customHeight="fals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6" t="str">
        <f aca="false">IF(K365="","",IF(AND(K365&lt;=45,OR(J365="Já existe verba aprovada para esse tema",J365="Entra no orçamento do próximo ciclo")),"Alta",IF(OR(K365&lt;=45,J365="Já existe verba aprovada para esse tema"),"Média","Baixa")))</f>
        <v/>
      </c>
      <c r="S365" s="17"/>
      <c r="T365" s="17"/>
      <c r="U365" s="17"/>
      <c r="V365" s="17"/>
      <c r="W365" s="17"/>
      <c r="X365" s="17"/>
    </row>
    <row r="366" customFormat="false" ht="15" hidden="false" customHeight="fals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6" t="str">
        <f aca="false">IF(K366="","",IF(AND(K366&lt;=45,OR(J366="Já existe verba aprovada para esse tema",J366="Entra no orçamento do próximo ciclo")),"Alta",IF(OR(K366&lt;=45,J366="Já existe verba aprovada para esse tema"),"Média","Baixa")))</f>
        <v/>
      </c>
      <c r="S366" s="17"/>
      <c r="T366" s="17"/>
      <c r="U366" s="17"/>
      <c r="V366" s="17"/>
      <c r="W366" s="17"/>
      <c r="X366" s="17"/>
    </row>
    <row r="367" customFormat="false" ht="15" hidden="false" customHeight="fals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6" t="str">
        <f aca="false">IF(K367="","",IF(AND(K367&lt;=45,OR(J367="Já existe verba aprovada para esse tema",J367="Entra no orçamento do próximo ciclo")),"Alta",IF(OR(K367&lt;=45,J367="Já existe verba aprovada para esse tema"),"Média","Baixa")))</f>
        <v/>
      </c>
      <c r="S367" s="17"/>
      <c r="T367" s="17"/>
      <c r="U367" s="17"/>
      <c r="V367" s="17"/>
      <c r="W367" s="17"/>
      <c r="X367" s="17"/>
    </row>
    <row r="368" customFormat="false" ht="15" hidden="false" customHeight="fals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6" t="str">
        <f aca="false">IF(K368="","",IF(AND(K368&lt;=45,OR(J368="Já existe verba aprovada para esse tema",J368="Entra no orçamento do próximo ciclo")),"Alta",IF(OR(K368&lt;=45,J368="Já existe verba aprovada para esse tema"),"Média","Baixa")))</f>
        <v/>
      </c>
      <c r="S368" s="17"/>
      <c r="T368" s="17"/>
      <c r="U368" s="17"/>
      <c r="V368" s="17"/>
      <c r="W368" s="17"/>
      <c r="X368" s="17"/>
    </row>
    <row r="369" customFormat="false" ht="15" hidden="false" customHeight="fals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6" t="str">
        <f aca="false">IF(K369="","",IF(AND(K369&lt;=45,OR(J369="Já existe verba aprovada para esse tema",J369="Entra no orçamento do próximo ciclo")),"Alta",IF(OR(K369&lt;=45,J369="Já existe verba aprovada para esse tema"),"Média","Baixa")))</f>
        <v/>
      </c>
      <c r="S369" s="17"/>
      <c r="T369" s="17"/>
      <c r="U369" s="17"/>
      <c r="V369" s="17"/>
      <c r="W369" s="17"/>
      <c r="X369" s="17"/>
    </row>
    <row r="370" customFormat="false" ht="15" hidden="false" customHeight="fals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6" t="str">
        <f aca="false">IF(K370="","",IF(AND(K370&lt;=45,OR(J370="Já existe verba aprovada para esse tema",J370="Entra no orçamento do próximo ciclo")),"Alta",IF(OR(K370&lt;=45,J370="Já existe verba aprovada para esse tema"),"Média","Baixa")))</f>
        <v/>
      </c>
      <c r="S370" s="17"/>
      <c r="T370" s="17"/>
      <c r="U370" s="17"/>
      <c r="V370" s="17"/>
      <c r="W370" s="17"/>
      <c r="X370" s="17"/>
    </row>
    <row r="371" customFormat="false" ht="15" hidden="false" customHeight="fals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6" t="str">
        <f aca="false">IF(K371="","",IF(AND(K371&lt;=45,OR(J371="Já existe verba aprovada para esse tema",J371="Entra no orçamento do próximo ciclo")),"Alta",IF(OR(K371&lt;=45,J371="Já existe verba aprovada para esse tema"),"Média","Baixa")))</f>
        <v/>
      </c>
      <c r="S371" s="17"/>
      <c r="T371" s="17"/>
      <c r="U371" s="17"/>
      <c r="V371" s="17"/>
      <c r="W371" s="17"/>
      <c r="X371" s="17"/>
    </row>
    <row r="372" customFormat="false" ht="15" hidden="false" customHeight="fals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6" t="str">
        <f aca="false">IF(K372="","",IF(AND(K372&lt;=45,OR(J372="Já existe verba aprovada para esse tema",J372="Entra no orçamento do próximo ciclo")),"Alta",IF(OR(K372&lt;=45,J372="Já existe verba aprovada para esse tema"),"Média","Baixa")))</f>
        <v/>
      </c>
      <c r="S372" s="17"/>
      <c r="T372" s="17"/>
      <c r="U372" s="17"/>
      <c r="V372" s="17"/>
      <c r="W372" s="17"/>
      <c r="X372" s="17"/>
    </row>
    <row r="373" customFormat="false" ht="15" hidden="false" customHeight="fals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6" t="str">
        <f aca="false">IF(K373="","",IF(AND(K373&lt;=45,OR(J373="Já existe verba aprovada para esse tema",J373="Entra no orçamento do próximo ciclo")),"Alta",IF(OR(K373&lt;=45,J373="Já existe verba aprovada para esse tema"),"Média","Baixa")))</f>
        <v/>
      </c>
      <c r="S373" s="17"/>
      <c r="T373" s="17"/>
      <c r="U373" s="17"/>
      <c r="V373" s="17"/>
      <c r="W373" s="17"/>
      <c r="X373" s="17"/>
    </row>
    <row r="374" customFormat="false" ht="15" hidden="false" customHeight="fals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6" t="str">
        <f aca="false">IF(K374="","",IF(AND(K374&lt;=45,OR(J374="Já existe verba aprovada para esse tema",J374="Entra no orçamento do próximo ciclo")),"Alta",IF(OR(K374&lt;=45,J374="Já existe verba aprovada para esse tema"),"Média","Baixa")))</f>
        <v/>
      </c>
      <c r="S374" s="17"/>
      <c r="T374" s="17"/>
      <c r="U374" s="17"/>
      <c r="V374" s="17"/>
      <c r="W374" s="17"/>
      <c r="X374" s="17"/>
    </row>
    <row r="375" customFormat="false" ht="15" hidden="false" customHeight="fals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6" t="str">
        <f aca="false">IF(K375="","",IF(AND(K375&lt;=45,OR(J375="Já existe verba aprovada para esse tema",J375="Entra no orçamento do próximo ciclo")),"Alta",IF(OR(K375&lt;=45,J375="Já existe verba aprovada para esse tema"),"Média","Baixa")))</f>
        <v/>
      </c>
      <c r="S375" s="17"/>
      <c r="T375" s="17"/>
      <c r="U375" s="17"/>
      <c r="V375" s="17"/>
      <c r="W375" s="17"/>
      <c r="X375" s="17"/>
    </row>
    <row r="376" customFormat="false" ht="15" hidden="false" customHeight="fals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6" t="str">
        <f aca="false">IF(K376="","",IF(AND(K376&lt;=45,OR(J376="Já existe verba aprovada para esse tema",J376="Entra no orçamento do próximo ciclo")),"Alta",IF(OR(K376&lt;=45,J376="Já existe verba aprovada para esse tema"),"Média","Baixa")))</f>
        <v/>
      </c>
      <c r="S376" s="17"/>
      <c r="T376" s="17"/>
      <c r="U376" s="17"/>
      <c r="V376" s="17"/>
      <c r="W376" s="17"/>
      <c r="X376" s="17"/>
    </row>
    <row r="377" customFormat="false" ht="15" hidden="false" customHeight="fals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6" t="str">
        <f aca="false">IF(K377="","",IF(AND(K377&lt;=45,OR(J377="Já existe verba aprovada para esse tema",J377="Entra no orçamento do próximo ciclo")),"Alta",IF(OR(K377&lt;=45,J377="Já existe verba aprovada para esse tema"),"Média","Baixa")))</f>
        <v/>
      </c>
      <c r="S377" s="17"/>
      <c r="T377" s="17"/>
      <c r="U377" s="17"/>
      <c r="V377" s="17"/>
      <c r="W377" s="17"/>
      <c r="X377" s="17"/>
    </row>
    <row r="378" customFormat="false" ht="15" hidden="false" customHeight="fals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6" t="str">
        <f aca="false">IF(K378="","",IF(AND(K378&lt;=45,OR(J378="Já existe verba aprovada para esse tema",J378="Entra no orçamento do próximo ciclo")),"Alta",IF(OR(K378&lt;=45,J378="Já existe verba aprovada para esse tema"),"Média","Baixa")))</f>
        <v/>
      </c>
      <c r="S378" s="17"/>
      <c r="T378" s="17"/>
      <c r="U378" s="17"/>
      <c r="V378" s="17"/>
      <c r="W378" s="17"/>
      <c r="X378" s="17"/>
    </row>
    <row r="379" customFormat="false" ht="15" hidden="false" customHeight="fals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6" t="str">
        <f aca="false">IF(K379="","",IF(AND(K379&lt;=45,OR(J379="Já existe verba aprovada para esse tema",J379="Entra no orçamento do próximo ciclo")),"Alta",IF(OR(K379&lt;=45,J379="Já existe verba aprovada para esse tema"),"Média","Baixa")))</f>
        <v/>
      </c>
      <c r="S379" s="17"/>
      <c r="T379" s="17"/>
      <c r="U379" s="17"/>
      <c r="V379" s="17"/>
      <c r="W379" s="17"/>
      <c r="X379" s="17"/>
    </row>
    <row r="380" customFormat="false" ht="15" hidden="false" customHeight="fals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6" t="str">
        <f aca="false">IF(K380="","",IF(AND(K380&lt;=45,OR(J380="Já existe verba aprovada para esse tema",J380="Entra no orçamento do próximo ciclo")),"Alta",IF(OR(K380&lt;=45,J380="Já existe verba aprovada para esse tema"),"Média","Baixa")))</f>
        <v/>
      </c>
      <c r="S380" s="17"/>
      <c r="T380" s="17"/>
      <c r="U380" s="17"/>
      <c r="V380" s="17"/>
      <c r="W380" s="17"/>
      <c r="X380" s="17"/>
    </row>
    <row r="381" customFormat="false" ht="15" hidden="false" customHeight="fals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6" t="str">
        <f aca="false">IF(K381="","",IF(AND(K381&lt;=45,OR(J381="Já existe verba aprovada para esse tema",J381="Entra no orçamento do próximo ciclo")),"Alta",IF(OR(K381&lt;=45,J381="Já existe verba aprovada para esse tema"),"Média","Baixa")))</f>
        <v/>
      </c>
      <c r="S381" s="17"/>
      <c r="T381" s="17"/>
      <c r="U381" s="17"/>
      <c r="V381" s="17"/>
      <c r="W381" s="17"/>
      <c r="X381" s="17"/>
    </row>
    <row r="382" customFormat="false" ht="15" hidden="false" customHeight="fals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6" t="str">
        <f aca="false">IF(K382="","",IF(AND(K382&lt;=45,OR(J382="Já existe verba aprovada para esse tema",J382="Entra no orçamento do próximo ciclo")),"Alta",IF(OR(K382&lt;=45,J382="Já existe verba aprovada para esse tema"),"Média","Baixa")))</f>
        <v/>
      </c>
      <c r="S382" s="17"/>
      <c r="T382" s="17"/>
      <c r="U382" s="17"/>
      <c r="V382" s="17"/>
      <c r="W382" s="17"/>
      <c r="X382" s="17"/>
    </row>
    <row r="383" customFormat="false" ht="15" hidden="false" customHeight="fals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6" t="str">
        <f aca="false">IF(K383="","",IF(AND(K383&lt;=45,OR(J383="Já existe verba aprovada para esse tema",J383="Entra no orçamento do próximo ciclo")),"Alta",IF(OR(K383&lt;=45,J383="Já existe verba aprovada para esse tema"),"Média","Baixa")))</f>
        <v/>
      </c>
      <c r="S383" s="17"/>
      <c r="T383" s="17"/>
      <c r="U383" s="17"/>
      <c r="V383" s="17"/>
      <c r="W383" s="17"/>
      <c r="X383" s="17"/>
    </row>
    <row r="384" customFormat="false" ht="15" hidden="false" customHeight="fals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6" t="str">
        <f aca="false">IF(K384="","",IF(AND(K384&lt;=45,OR(J384="Já existe verba aprovada para esse tema",J384="Entra no orçamento do próximo ciclo")),"Alta",IF(OR(K384&lt;=45,J384="Já existe verba aprovada para esse tema"),"Média","Baixa")))</f>
        <v/>
      </c>
      <c r="S384" s="17"/>
      <c r="T384" s="17"/>
      <c r="U384" s="17"/>
      <c r="V384" s="17"/>
      <c r="W384" s="17"/>
      <c r="X384" s="17"/>
    </row>
    <row r="385" customFormat="false" ht="15" hidden="false" customHeight="fals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6" t="str">
        <f aca="false">IF(K385="","",IF(AND(K385&lt;=45,OR(J385="Já existe verba aprovada para esse tema",J385="Entra no orçamento do próximo ciclo")),"Alta",IF(OR(K385&lt;=45,J385="Já existe verba aprovada para esse tema"),"Média","Baixa")))</f>
        <v/>
      </c>
      <c r="S385" s="17"/>
      <c r="T385" s="17"/>
      <c r="U385" s="17"/>
      <c r="V385" s="17"/>
      <c r="W385" s="17"/>
      <c r="X385" s="17"/>
    </row>
    <row r="386" customFormat="false" ht="15" hidden="false" customHeight="fals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6" t="str">
        <f aca="false">IF(K386="","",IF(AND(K386&lt;=45,OR(J386="Já existe verba aprovada para esse tema",J386="Entra no orçamento do próximo ciclo")),"Alta",IF(OR(K386&lt;=45,J386="Já existe verba aprovada para esse tema"),"Média","Baixa")))</f>
        <v/>
      </c>
      <c r="S386" s="17"/>
      <c r="T386" s="17"/>
      <c r="U386" s="17"/>
      <c r="V386" s="17"/>
      <c r="W386" s="17"/>
      <c r="X386" s="17"/>
    </row>
    <row r="387" customFormat="false" ht="15" hidden="false" customHeight="fals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6" t="str">
        <f aca="false">IF(K387="","",IF(AND(K387&lt;=45,OR(J387="Já existe verba aprovada para esse tema",J387="Entra no orçamento do próximo ciclo")),"Alta",IF(OR(K387&lt;=45,J387="Já existe verba aprovada para esse tema"),"Média","Baixa")))</f>
        <v/>
      </c>
      <c r="S387" s="17"/>
      <c r="T387" s="17"/>
      <c r="U387" s="17"/>
      <c r="V387" s="17"/>
      <c r="W387" s="17"/>
      <c r="X387" s="17"/>
    </row>
    <row r="388" customFormat="false" ht="15" hidden="false" customHeight="fals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6" t="str">
        <f aca="false">IF(K388="","",IF(AND(K388&lt;=45,OR(J388="Já existe verba aprovada para esse tema",J388="Entra no orçamento do próximo ciclo")),"Alta",IF(OR(K388&lt;=45,J388="Já existe verba aprovada para esse tema"),"Média","Baixa")))</f>
        <v/>
      </c>
      <c r="S388" s="17"/>
      <c r="T388" s="17"/>
      <c r="U388" s="17"/>
      <c r="V388" s="17"/>
      <c r="W388" s="17"/>
      <c r="X388" s="17"/>
    </row>
    <row r="389" customFormat="false" ht="15" hidden="false" customHeight="fals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6" t="str">
        <f aca="false">IF(K389="","",IF(AND(K389&lt;=45,OR(J389="Já existe verba aprovada para esse tema",J389="Entra no orçamento do próximo ciclo")),"Alta",IF(OR(K389&lt;=45,J389="Já existe verba aprovada para esse tema"),"Média","Baixa")))</f>
        <v/>
      </c>
      <c r="S389" s="17"/>
      <c r="T389" s="17"/>
      <c r="U389" s="17"/>
      <c r="V389" s="17"/>
      <c r="W389" s="17"/>
      <c r="X389" s="17"/>
    </row>
    <row r="390" customFormat="false" ht="15" hidden="false" customHeight="fals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6" t="str">
        <f aca="false">IF(K390="","",IF(AND(K390&lt;=45,OR(J390="Já existe verba aprovada para esse tema",J390="Entra no orçamento do próximo ciclo")),"Alta",IF(OR(K390&lt;=45,J390="Já existe verba aprovada para esse tema"),"Média","Baixa")))</f>
        <v/>
      </c>
      <c r="S390" s="17"/>
      <c r="T390" s="17"/>
      <c r="U390" s="17"/>
      <c r="V390" s="17"/>
      <c r="W390" s="17"/>
      <c r="X390" s="17"/>
    </row>
    <row r="391" customFormat="false" ht="15" hidden="false" customHeight="fals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6" t="str">
        <f aca="false">IF(K391="","",IF(AND(K391&lt;=45,OR(J391="Já existe verba aprovada para esse tema",J391="Entra no orçamento do próximo ciclo")),"Alta",IF(OR(K391&lt;=45,J391="Já existe verba aprovada para esse tema"),"Média","Baixa")))</f>
        <v/>
      </c>
      <c r="S391" s="17"/>
      <c r="T391" s="17"/>
      <c r="U391" s="17"/>
      <c r="V391" s="17"/>
      <c r="W391" s="17"/>
      <c r="X391" s="17"/>
    </row>
    <row r="392" customFormat="false" ht="15" hidden="false" customHeight="fals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6" t="str">
        <f aca="false">IF(K392="","",IF(AND(K392&lt;=45,OR(J392="Já existe verba aprovada para esse tema",J392="Entra no orçamento do próximo ciclo")),"Alta",IF(OR(K392&lt;=45,J392="Já existe verba aprovada para esse tema"),"Média","Baixa")))</f>
        <v/>
      </c>
      <c r="S392" s="17"/>
      <c r="T392" s="17"/>
      <c r="U392" s="17"/>
      <c r="V392" s="17"/>
      <c r="W392" s="17"/>
      <c r="X392" s="17"/>
    </row>
    <row r="393" customFormat="false" ht="15" hidden="false" customHeight="fals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6" t="str">
        <f aca="false">IF(K393="","",IF(AND(K393&lt;=45,OR(J393="Já existe verba aprovada para esse tema",J393="Entra no orçamento do próximo ciclo")),"Alta",IF(OR(K393&lt;=45,J393="Já existe verba aprovada para esse tema"),"Média","Baixa")))</f>
        <v/>
      </c>
      <c r="S393" s="17"/>
      <c r="T393" s="17"/>
      <c r="U393" s="17"/>
      <c r="V393" s="17"/>
      <c r="W393" s="17"/>
      <c r="X393" s="17"/>
    </row>
    <row r="394" customFormat="false" ht="15" hidden="false" customHeight="fals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6" t="str">
        <f aca="false">IF(K394="","",IF(AND(K394&lt;=45,OR(J394="Já existe verba aprovada para esse tema",J394="Entra no orçamento do próximo ciclo")),"Alta",IF(OR(K394&lt;=45,J394="Já existe verba aprovada para esse tema"),"Média","Baixa")))</f>
        <v/>
      </c>
      <c r="S394" s="17"/>
      <c r="T394" s="17"/>
      <c r="U394" s="17"/>
      <c r="V394" s="17"/>
      <c r="W394" s="17"/>
      <c r="X394" s="17"/>
    </row>
    <row r="395" customFormat="false" ht="15" hidden="false" customHeight="fals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6" t="str">
        <f aca="false">IF(K395="","",IF(AND(K395&lt;=45,OR(J395="Já existe verba aprovada para esse tema",J395="Entra no orçamento do próximo ciclo")),"Alta",IF(OR(K395&lt;=45,J395="Já existe verba aprovada para esse tema"),"Média","Baixa")))</f>
        <v/>
      </c>
      <c r="S395" s="17"/>
      <c r="T395" s="17"/>
      <c r="U395" s="17"/>
      <c r="V395" s="17"/>
      <c r="W395" s="17"/>
      <c r="X395" s="17"/>
    </row>
    <row r="396" customFormat="false" ht="15" hidden="false" customHeight="fals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6" t="str">
        <f aca="false">IF(K396="","",IF(AND(K396&lt;=45,OR(J396="Já existe verba aprovada para esse tema",J396="Entra no orçamento do próximo ciclo")),"Alta",IF(OR(K396&lt;=45,J396="Já existe verba aprovada para esse tema"),"Média","Baixa")))</f>
        <v/>
      </c>
      <c r="S396" s="17"/>
      <c r="T396" s="17"/>
      <c r="U396" s="17"/>
      <c r="V396" s="17"/>
      <c r="W396" s="17"/>
      <c r="X396" s="17"/>
    </row>
    <row r="397" customFormat="false" ht="15" hidden="false" customHeight="fals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6" t="str">
        <f aca="false">IF(K397="","",IF(AND(K397&lt;=45,OR(J397="Já existe verba aprovada para esse tema",J397="Entra no orçamento do próximo ciclo")),"Alta",IF(OR(K397&lt;=45,J397="Já existe verba aprovada para esse tema"),"Média","Baixa")))</f>
        <v/>
      </c>
      <c r="S397" s="17"/>
      <c r="T397" s="17"/>
      <c r="U397" s="17"/>
      <c r="V397" s="17"/>
      <c r="W397" s="17"/>
      <c r="X397" s="17"/>
    </row>
    <row r="398" customFormat="false" ht="15" hidden="false" customHeight="fals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6" t="str">
        <f aca="false">IF(K398="","",IF(AND(K398&lt;=45,OR(J398="Já existe verba aprovada para esse tema",J398="Entra no orçamento do próximo ciclo")),"Alta",IF(OR(K398&lt;=45,J398="Já existe verba aprovada para esse tema"),"Média","Baixa")))</f>
        <v/>
      </c>
      <c r="S398" s="17"/>
      <c r="T398" s="17"/>
      <c r="U398" s="17"/>
      <c r="V398" s="17"/>
      <c r="W398" s="17"/>
      <c r="X398" s="17"/>
    </row>
    <row r="399" customFormat="false" ht="15" hidden="false" customHeight="fals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6" t="str">
        <f aca="false">IF(K399="","",IF(AND(K399&lt;=45,OR(J399="Já existe verba aprovada para esse tema",J399="Entra no orçamento do próximo ciclo")),"Alta",IF(OR(K399&lt;=45,J399="Já existe verba aprovada para esse tema"),"Média","Baixa")))</f>
        <v/>
      </c>
      <c r="S399" s="17"/>
      <c r="T399" s="17"/>
      <c r="U399" s="17"/>
      <c r="V399" s="17"/>
      <c r="W399" s="17"/>
      <c r="X399" s="17"/>
    </row>
    <row r="400" customFormat="false" ht="15" hidden="false" customHeight="fals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6" t="str">
        <f aca="false">IF(K400="","",IF(AND(K400&lt;=45,OR(J400="Já existe verba aprovada para esse tema",J400="Entra no orçamento do próximo ciclo")),"Alta",IF(OR(K400&lt;=45,J400="Já existe verba aprovada para esse tema"),"Média","Baixa")))</f>
        <v/>
      </c>
      <c r="S400" s="17"/>
      <c r="T400" s="17"/>
      <c r="U400" s="17"/>
      <c r="V400" s="17"/>
      <c r="W400" s="17"/>
      <c r="X400" s="17"/>
    </row>
    <row r="401" customFormat="false" ht="15" hidden="false" customHeight="fals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6" t="str">
        <f aca="false">IF(K401="","",IF(AND(K401&lt;=45,OR(J401="Já existe verba aprovada para esse tema",J401="Entra no orçamento do próximo ciclo")),"Alta",IF(OR(K401&lt;=45,J401="Já existe verba aprovada para esse tema"),"Média","Baixa")))</f>
        <v/>
      </c>
      <c r="S401" s="17"/>
      <c r="T401" s="17"/>
      <c r="U401" s="17"/>
      <c r="V401" s="17"/>
      <c r="W401" s="17"/>
      <c r="X401" s="17"/>
    </row>
    <row r="402" customFormat="false" ht="15" hidden="false" customHeight="fals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6" t="str">
        <f aca="false">IF(K402="","",IF(AND(K402&lt;=45,OR(J402="Já existe verba aprovada para esse tema",J402="Entra no orçamento do próximo ciclo")),"Alta",IF(OR(K402&lt;=45,J402="Já existe verba aprovada para esse tema"),"Média","Baixa")))</f>
        <v/>
      </c>
      <c r="S402" s="17"/>
      <c r="T402" s="17"/>
      <c r="U402" s="17"/>
      <c r="V402" s="17"/>
      <c r="W402" s="17"/>
      <c r="X402" s="17"/>
    </row>
    <row r="403" customFormat="false" ht="15" hidden="false" customHeight="fals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6" t="str">
        <f aca="false">IF(K403="","",IF(AND(K403&lt;=45,OR(J403="Já existe verba aprovada para esse tema",J403="Entra no orçamento do próximo ciclo")),"Alta",IF(OR(K403&lt;=45,J403="Já existe verba aprovada para esse tema"),"Média","Baixa")))</f>
        <v/>
      </c>
      <c r="S403" s="17"/>
      <c r="T403" s="17"/>
      <c r="U403" s="17"/>
      <c r="V403" s="17"/>
      <c r="W403" s="17"/>
      <c r="X403" s="17"/>
    </row>
    <row r="404" customFormat="false" ht="15" hidden="false" customHeight="fals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6" t="str">
        <f aca="false">IF(K404="","",IF(AND(K404&lt;=45,OR(J404="Já existe verba aprovada para esse tema",J404="Entra no orçamento do próximo ciclo")),"Alta",IF(OR(K404&lt;=45,J404="Já existe verba aprovada para esse tema"),"Média","Baixa")))</f>
        <v/>
      </c>
      <c r="S404" s="17"/>
      <c r="T404" s="17"/>
      <c r="U404" s="17"/>
      <c r="V404" s="17"/>
      <c r="W404" s="17"/>
      <c r="X404" s="17"/>
    </row>
    <row r="405" customFormat="false" ht="15" hidden="false" customHeight="fals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6" t="str">
        <f aca="false">IF(K405="","",IF(AND(K405&lt;=45,OR(J405="Já existe verba aprovada para esse tema",J405="Entra no orçamento do próximo ciclo")),"Alta",IF(OR(K405&lt;=45,J405="Já existe verba aprovada para esse tema"),"Média","Baixa")))</f>
        <v/>
      </c>
      <c r="S405" s="17"/>
      <c r="T405" s="17"/>
      <c r="U405" s="17"/>
      <c r="V405" s="17"/>
      <c r="W405" s="17"/>
      <c r="X405" s="17"/>
    </row>
    <row r="406" customFormat="false" ht="15" hidden="false" customHeight="fals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6" t="str">
        <f aca="false">IF(K406="","",IF(AND(K406&lt;=45,OR(J406="Já existe verba aprovada para esse tema",J406="Entra no orçamento do próximo ciclo")),"Alta",IF(OR(K406&lt;=45,J406="Já existe verba aprovada para esse tema"),"Média","Baixa")))</f>
        <v/>
      </c>
      <c r="S406" s="17"/>
      <c r="T406" s="17"/>
      <c r="U406" s="17"/>
      <c r="V406" s="17"/>
      <c r="W406" s="17"/>
      <c r="X406" s="17"/>
    </row>
    <row r="407" customFormat="false" ht="15" hidden="false" customHeight="fals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6" t="str">
        <f aca="false">IF(K407="","",IF(AND(K407&lt;=45,OR(J407="Já existe verba aprovada para esse tema",J407="Entra no orçamento do próximo ciclo")),"Alta",IF(OR(K407&lt;=45,J407="Já existe verba aprovada para esse tema"),"Média","Baixa")))</f>
        <v/>
      </c>
      <c r="S407" s="17"/>
      <c r="T407" s="17"/>
      <c r="U407" s="17"/>
      <c r="V407" s="17"/>
      <c r="W407" s="17"/>
      <c r="X407" s="17"/>
    </row>
    <row r="408" customFormat="false" ht="15" hidden="false" customHeight="fals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6" t="str">
        <f aca="false">IF(K408="","",IF(AND(K408&lt;=45,OR(J408="Já existe verba aprovada para esse tema",J408="Entra no orçamento do próximo ciclo")),"Alta",IF(OR(K408&lt;=45,J408="Já existe verba aprovada para esse tema"),"Média","Baixa")))</f>
        <v/>
      </c>
      <c r="S408" s="17"/>
      <c r="T408" s="17"/>
      <c r="U408" s="17"/>
      <c r="V408" s="17"/>
      <c r="W408" s="17"/>
      <c r="X408" s="17"/>
    </row>
    <row r="409" customFormat="false" ht="15" hidden="false" customHeight="fals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6" t="str">
        <f aca="false">IF(K409="","",IF(AND(K409&lt;=45,OR(J409="Já existe verba aprovada para esse tema",J409="Entra no orçamento do próximo ciclo")),"Alta",IF(OR(K409&lt;=45,J409="Já existe verba aprovada para esse tema"),"Média","Baixa")))</f>
        <v/>
      </c>
      <c r="S409" s="17"/>
      <c r="T409" s="17"/>
      <c r="U409" s="17"/>
      <c r="V409" s="17"/>
      <c r="W409" s="17"/>
      <c r="X409" s="17"/>
    </row>
    <row r="410" customFormat="false" ht="15" hidden="false" customHeight="fals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6" t="str">
        <f aca="false">IF(K410="","",IF(AND(K410&lt;=45,OR(J410="Já existe verba aprovada para esse tema",J410="Entra no orçamento do próximo ciclo")),"Alta",IF(OR(K410&lt;=45,J410="Já existe verba aprovada para esse tema"),"Média","Baixa")))</f>
        <v/>
      </c>
      <c r="S410" s="17"/>
      <c r="T410" s="17"/>
      <c r="U410" s="17"/>
      <c r="V410" s="17"/>
      <c r="W410" s="17"/>
      <c r="X410" s="17"/>
    </row>
    <row r="411" customFormat="false" ht="15" hidden="false" customHeight="fals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6" t="str">
        <f aca="false">IF(K411="","",IF(AND(K411&lt;=45,OR(J411="Já existe verba aprovada para esse tema",J411="Entra no orçamento do próximo ciclo")),"Alta",IF(OR(K411&lt;=45,J411="Já existe verba aprovada para esse tema"),"Média","Baixa")))</f>
        <v/>
      </c>
      <c r="S411" s="17"/>
      <c r="T411" s="17"/>
      <c r="U411" s="17"/>
      <c r="V411" s="17"/>
      <c r="W411" s="17"/>
      <c r="X411" s="17"/>
    </row>
    <row r="412" customFormat="false" ht="15" hidden="false" customHeight="fals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6" t="str">
        <f aca="false">IF(K412="","",IF(AND(K412&lt;=45,OR(J412="Já existe verba aprovada para esse tema",J412="Entra no orçamento do próximo ciclo")),"Alta",IF(OR(K412&lt;=45,J412="Já existe verba aprovada para esse tema"),"Média","Baixa")))</f>
        <v/>
      </c>
      <c r="S412" s="17"/>
      <c r="T412" s="17"/>
      <c r="U412" s="17"/>
      <c r="V412" s="17"/>
      <c r="W412" s="17"/>
      <c r="X412" s="17"/>
    </row>
    <row r="413" customFormat="false" ht="15" hidden="false" customHeight="fals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6" t="str">
        <f aca="false">IF(K413="","",IF(AND(K413&lt;=45,OR(J413="Já existe verba aprovada para esse tema",J413="Entra no orçamento do próximo ciclo")),"Alta",IF(OR(K413&lt;=45,J413="Já existe verba aprovada para esse tema"),"Média","Baixa")))</f>
        <v/>
      </c>
      <c r="S413" s="17"/>
      <c r="T413" s="17"/>
      <c r="U413" s="17"/>
      <c r="V413" s="17"/>
      <c r="W413" s="17"/>
      <c r="X413" s="17"/>
    </row>
    <row r="414" customFormat="false" ht="15" hidden="false" customHeight="fals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6" t="str">
        <f aca="false">IF(K414="","",IF(AND(K414&lt;=45,OR(J414="Já existe verba aprovada para esse tema",J414="Entra no orçamento do próximo ciclo")),"Alta",IF(OR(K414&lt;=45,J414="Já existe verba aprovada para esse tema"),"Média","Baixa")))</f>
        <v/>
      </c>
      <c r="S414" s="17"/>
      <c r="T414" s="17"/>
      <c r="U414" s="17"/>
      <c r="V414" s="17"/>
      <c r="W414" s="17"/>
      <c r="X414" s="17"/>
    </row>
    <row r="415" customFormat="false" ht="15" hidden="false" customHeight="fals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6" t="str">
        <f aca="false">IF(K415="","",IF(AND(K415&lt;=45,OR(J415="Já existe verba aprovada para esse tema",J415="Entra no orçamento do próximo ciclo")),"Alta",IF(OR(K415&lt;=45,J415="Já existe verba aprovada para esse tema"),"Média","Baixa")))</f>
        <v/>
      </c>
      <c r="S415" s="17"/>
      <c r="T415" s="17"/>
      <c r="U415" s="17"/>
      <c r="V415" s="17"/>
      <c r="W415" s="17"/>
      <c r="X415" s="17"/>
    </row>
    <row r="416" customFormat="false" ht="15" hidden="false" customHeight="fals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6" t="str">
        <f aca="false">IF(K416="","",IF(AND(K416&lt;=45,OR(J416="Já existe verba aprovada para esse tema",J416="Entra no orçamento do próximo ciclo")),"Alta",IF(OR(K416&lt;=45,J416="Já existe verba aprovada para esse tema"),"Média","Baixa")))</f>
        <v/>
      </c>
      <c r="S416" s="17"/>
      <c r="T416" s="17"/>
      <c r="U416" s="17"/>
      <c r="V416" s="17"/>
      <c r="W416" s="17"/>
      <c r="X416" s="17"/>
    </row>
    <row r="417" customFormat="false" ht="15" hidden="false" customHeight="fals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6" t="str">
        <f aca="false">IF(K417="","",IF(AND(K417&lt;=45,OR(J417="Já existe verba aprovada para esse tema",J417="Entra no orçamento do próximo ciclo")),"Alta",IF(OR(K417&lt;=45,J417="Já existe verba aprovada para esse tema"),"Média","Baixa")))</f>
        <v/>
      </c>
      <c r="S417" s="17"/>
      <c r="T417" s="17"/>
      <c r="U417" s="17"/>
      <c r="V417" s="17"/>
      <c r="W417" s="17"/>
      <c r="X417" s="17"/>
    </row>
    <row r="418" customFormat="false" ht="15" hidden="false" customHeight="fals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6" t="str">
        <f aca="false">IF(K418="","",IF(AND(K418&lt;=45,OR(J418="Já existe verba aprovada para esse tema",J418="Entra no orçamento do próximo ciclo")),"Alta",IF(OR(K418&lt;=45,J418="Já existe verba aprovada para esse tema"),"Média","Baixa")))</f>
        <v/>
      </c>
      <c r="S418" s="17"/>
      <c r="T418" s="17"/>
      <c r="U418" s="17"/>
      <c r="V418" s="17"/>
      <c r="W418" s="17"/>
      <c r="X418" s="17"/>
    </row>
    <row r="419" customFormat="false" ht="15" hidden="false" customHeight="fals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6" t="str">
        <f aca="false">IF(K419="","",IF(AND(K419&lt;=45,OR(J419="Já existe verba aprovada para esse tema",J419="Entra no orçamento do próximo ciclo")),"Alta",IF(OR(K419&lt;=45,J419="Já existe verba aprovada para esse tema"),"Média","Baixa")))</f>
        <v/>
      </c>
      <c r="S419" s="17"/>
      <c r="T419" s="17"/>
      <c r="U419" s="17"/>
      <c r="V419" s="17"/>
      <c r="W419" s="17"/>
      <c r="X419" s="17"/>
    </row>
    <row r="420" customFormat="false" ht="15" hidden="false" customHeight="fals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6" t="str">
        <f aca="false">IF(K420="","",IF(AND(K420&lt;=45,OR(J420="Já existe verba aprovada para esse tema",J420="Entra no orçamento do próximo ciclo")),"Alta",IF(OR(K420&lt;=45,J420="Já existe verba aprovada para esse tema"),"Média","Baixa")))</f>
        <v/>
      </c>
      <c r="S420" s="17"/>
      <c r="T420" s="17"/>
      <c r="U420" s="17"/>
      <c r="V420" s="17"/>
      <c r="W420" s="17"/>
      <c r="X420" s="17"/>
    </row>
    <row r="421" customFormat="false" ht="15" hidden="false" customHeight="fals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6" t="str">
        <f aca="false">IF(K421="","",IF(AND(K421&lt;=45,OR(J421="Já existe verba aprovada para esse tema",J421="Entra no orçamento do próximo ciclo")),"Alta",IF(OR(K421&lt;=45,J421="Já existe verba aprovada para esse tema"),"Média","Baixa")))</f>
        <v/>
      </c>
      <c r="S421" s="17"/>
      <c r="T421" s="17"/>
      <c r="U421" s="17"/>
      <c r="V421" s="17"/>
      <c r="W421" s="17"/>
      <c r="X421" s="17"/>
    </row>
    <row r="422" customFormat="false" ht="15" hidden="false" customHeight="fals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6" t="str">
        <f aca="false">IF(K422="","",IF(AND(K422&lt;=45,OR(J422="Já existe verba aprovada para esse tema",J422="Entra no orçamento do próximo ciclo")),"Alta",IF(OR(K422&lt;=45,J422="Já existe verba aprovada para esse tema"),"Média","Baixa")))</f>
        <v/>
      </c>
      <c r="S422" s="17"/>
      <c r="T422" s="17"/>
      <c r="U422" s="17"/>
      <c r="V422" s="17"/>
      <c r="W422" s="17"/>
      <c r="X422" s="17"/>
    </row>
    <row r="423" customFormat="false" ht="15" hidden="false" customHeight="fals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6" t="str">
        <f aca="false">IF(K423="","",IF(AND(K423&lt;=45,OR(J423="Já existe verba aprovada para esse tema",J423="Entra no orçamento do próximo ciclo")),"Alta",IF(OR(K423&lt;=45,J423="Já existe verba aprovada para esse tema"),"Média","Baixa")))</f>
        <v/>
      </c>
      <c r="S423" s="17"/>
      <c r="T423" s="17"/>
      <c r="U423" s="17"/>
      <c r="V423" s="17"/>
      <c r="W423" s="17"/>
      <c r="X423" s="17"/>
    </row>
    <row r="424" customFormat="false" ht="15" hidden="false" customHeight="fals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6" t="str">
        <f aca="false">IF(K424="","",IF(AND(K424&lt;=45,OR(J424="Já existe verba aprovada para esse tema",J424="Entra no orçamento do próximo ciclo")),"Alta",IF(OR(K424&lt;=45,J424="Já existe verba aprovada para esse tema"),"Média","Baixa")))</f>
        <v/>
      </c>
      <c r="S424" s="17"/>
      <c r="T424" s="17"/>
      <c r="U424" s="17"/>
      <c r="V424" s="17"/>
      <c r="W424" s="17"/>
      <c r="X424" s="17"/>
    </row>
    <row r="425" customFormat="false" ht="15" hidden="false" customHeight="fals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6" t="str">
        <f aca="false">IF(K425="","",IF(AND(K425&lt;=45,OR(J425="Já existe verba aprovada para esse tema",J425="Entra no orçamento do próximo ciclo")),"Alta",IF(OR(K425&lt;=45,J425="Já existe verba aprovada para esse tema"),"Média","Baixa")))</f>
        <v/>
      </c>
      <c r="S425" s="17"/>
      <c r="T425" s="17"/>
      <c r="U425" s="17"/>
      <c r="V425" s="17"/>
      <c r="W425" s="17"/>
      <c r="X425" s="17"/>
    </row>
    <row r="426" customFormat="false" ht="15" hidden="false" customHeight="fals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6" t="str">
        <f aca="false">IF(K426="","",IF(AND(K426&lt;=45,OR(J426="Já existe verba aprovada para esse tema",J426="Entra no orçamento do próximo ciclo")),"Alta",IF(OR(K426&lt;=45,J426="Já existe verba aprovada para esse tema"),"Média","Baixa")))</f>
        <v/>
      </c>
      <c r="S426" s="17"/>
      <c r="T426" s="17"/>
      <c r="U426" s="17"/>
      <c r="V426" s="17"/>
      <c r="W426" s="17"/>
      <c r="X426" s="17"/>
    </row>
    <row r="427" customFormat="false" ht="15" hidden="false" customHeight="fals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6" t="str">
        <f aca="false">IF(K427="","",IF(AND(K427&lt;=45,OR(J427="Já existe verba aprovada para esse tema",J427="Entra no orçamento do próximo ciclo")),"Alta",IF(OR(K427&lt;=45,J427="Já existe verba aprovada para esse tema"),"Média","Baixa")))</f>
        <v/>
      </c>
      <c r="S427" s="17"/>
      <c r="T427" s="17"/>
      <c r="U427" s="17"/>
      <c r="V427" s="17"/>
      <c r="W427" s="17"/>
      <c r="X427" s="17"/>
    </row>
    <row r="428" customFormat="false" ht="15" hidden="false" customHeight="fals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6" t="str">
        <f aca="false">IF(K428="","",IF(AND(K428&lt;=45,OR(J428="Já existe verba aprovada para esse tema",J428="Entra no orçamento do próximo ciclo")),"Alta",IF(OR(K428&lt;=45,J428="Já existe verba aprovada para esse tema"),"Média","Baixa")))</f>
        <v/>
      </c>
      <c r="S428" s="17"/>
      <c r="T428" s="17"/>
      <c r="U428" s="17"/>
      <c r="V428" s="17"/>
      <c r="W428" s="17"/>
      <c r="X428" s="17"/>
    </row>
    <row r="429" customFormat="false" ht="15" hidden="false" customHeight="fals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6" t="str">
        <f aca="false">IF(K429="","",IF(AND(K429&lt;=45,OR(J429="Já existe verba aprovada para esse tema",J429="Entra no orçamento do próximo ciclo")),"Alta",IF(OR(K429&lt;=45,J429="Já existe verba aprovada para esse tema"),"Média","Baixa")))</f>
        <v/>
      </c>
      <c r="S429" s="17"/>
      <c r="T429" s="17"/>
      <c r="U429" s="17"/>
      <c r="V429" s="17"/>
      <c r="W429" s="17"/>
      <c r="X429" s="17"/>
    </row>
    <row r="430" customFormat="false" ht="15" hidden="false" customHeight="fals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6" t="str">
        <f aca="false">IF(K430="","",IF(AND(K430&lt;=45,OR(J430="Já existe verba aprovada para esse tema",J430="Entra no orçamento do próximo ciclo")),"Alta",IF(OR(K430&lt;=45,J430="Já existe verba aprovada para esse tema"),"Média","Baixa")))</f>
        <v/>
      </c>
      <c r="S430" s="17"/>
      <c r="T430" s="17"/>
      <c r="U430" s="17"/>
      <c r="V430" s="17"/>
      <c r="W430" s="17"/>
      <c r="X430" s="17"/>
    </row>
    <row r="431" customFormat="false" ht="15" hidden="false" customHeight="fals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6" t="str">
        <f aca="false">IF(K431="","",IF(AND(K431&lt;=45,OR(J431="Já existe verba aprovada para esse tema",J431="Entra no orçamento do próximo ciclo")),"Alta",IF(OR(K431&lt;=45,J431="Já existe verba aprovada para esse tema"),"Média","Baixa")))</f>
        <v/>
      </c>
      <c r="S431" s="17"/>
      <c r="T431" s="17"/>
      <c r="U431" s="17"/>
      <c r="V431" s="17"/>
      <c r="W431" s="17"/>
      <c r="X431" s="17"/>
    </row>
    <row r="432" customFormat="false" ht="15" hidden="false" customHeight="fals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6" t="str">
        <f aca="false">IF(K432="","",IF(AND(K432&lt;=45,OR(J432="Já existe verba aprovada para esse tema",J432="Entra no orçamento do próximo ciclo")),"Alta",IF(OR(K432&lt;=45,J432="Já existe verba aprovada para esse tema"),"Média","Baixa")))</f>
        <v/>
      </c>
      <c r="S432" s="17"/>
      <c r="T432" s="17"/>
      <c r="U432" s="17"/>
      <c r="V432" s="17"/>
      <c r="W432" s="17"/>
      <c r="X432" s="17"/>
    </row>
    <row r="433" customFormat="false" ht="15" hidden="false" customHeight="fals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6" t="str">
        <f aca="false">IF(K433="","",IF(AND(K433&lt;=45,OR(J433="Já existe verba aprovada para esse tema",J433="Entra no orçamento do próximo ciclo")),"Alta",IF(OR(K433&lt;=45,J433="Já existe verba aprovada para esse tema"),"Média","Baixa")))</f>
        <v/>
      </c>
      <c r="S433" s="17"/>
      <c r="T433" s="17"/>
      <c r="U433" s="17"/>
      <c r="V433" s="17"/>
      <c r="W433" s="17"/>
      <c r="X433" s="17"/>
    </row>
    <row r="434" customFormat="false" ht="15" hidden="false" customHeight="fals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6" t="str">
        <f aca="false">IF(K434="","",IF(AND(K434&lt;=45,OR(J434="Já existe verba aprovada para esse tema",J434="Entra no orçamento do próximo ciclo")),"Alta",IF(OR(K434&lt;=45,J434="Já existe verba aprovada para esse tema"),"Média","Baixa")))</f>
        <v/>
      </c>
      <c r="S434" s="17"/>
      <c r="T434" s="17"/>
      <c r="U434" s="17"/>
      <c r="V434" s="17"/>
      <c r="W434" s="17"/>
      <c r="X434" s="17"/>
    </row>
    <row r="435" customFormat="false" ht="15" hidden="false" customHeight="fals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6" t="str">
        <f aca="false">IF(K435="","",IF(AND(K435&lt;=45,OR(J435="Já existe verba aprovada para esse tema",J435="Entra no orçamento do próximo ciclo")),"Alta",IF(OR(K435&lt;=45,J435="Já existe verba aprovada para esse tema"),"Média","Baixa")))</f>
        <v/>
      </c>
      <c r="S435" s="17"/>
      <c r="T435" s="17"/>
      <c r="U435" s="17"/>
      <c r="V435" s="17"/>
      <c r="W435" s="17"/>
      <c r="X435" s="17"/>
    </row>
    <row r="436" customFormat="false" ht="15" hidden="false" customHeight="fals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6" t="str">
        <f aca="false">IF(K436="","",IF(AND(K436&lt;=45,OR(J436="Já existe verba aprovada para esse tema",J436="Entra no orçamento do próximo ciclo")),"Alta",IF(OR(K436&lt;=45,J436="Já existe verba aprovada para esse tema"),"Média","Baixa")))</f>
        <v/>
      </c>
      <c r="S436" s="17"/>
      <c r="T436" s="17"/>
      <c r="U436" s="17"/>
      <c r="V436" s="17"/>
      <c r="W436" s="17"/>
      <c r="X436" s="17"/>
    </row>
    <row r="437" customFormat="false" ht="15" hidden="false" customHeight="fals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6" t="str">
        <f aca="false">IF(K437="","",IF(AND(K437&lt;=45,OR(J437="Já existe verba aprovada para esse tema",J437="Entra no orçamento do próximo ciclo")),"Alta",IF(OR(K437&lt;=45,J437="Já existe verba aprovada para esse tema"),"Média","Baixa")))</f>
        <v/>
      </c>
      <c r="S437" s="17"/>
      <c r="T437" s="17"/>
      <c r="U437" s="17"/>
      <c r="V437" s="17"/>
      <c r="W437" s="17"/>
      <c r="X437" s="17"/>
    </row>
    <row r="438" customFormat="false" ht="15" hidden="false" customHeight="fals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6" t="str">
        <f aca="false">IF(K438="","",IF(AND(K438&lt;=45,OR(J438="Já existe verba aprovada para esse tema",J438="Entra no orçamento do próximo ciclo")),"Alta",IF(OR(K438&lt;=45,J438="Já existe verba aprovada para esse tema"),"Média","Baixa")))</f>
        <v/>
      </c>
      <c r="S438" s="17"/>
      <c r="T438" s="17"/>
      <c r="U438" s="17"/>
      <c r="V438" s="17"/>
      <c r="W438" s="17"/>
      <c r="X438" s="17"/>
    </row>
    <row r="439" customFormat="false" ht="15" hidden="false" customHeight="fals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6" t="str">
        <f aca="false">IF(K439="","",IF(AND(K439&lt;=45,OR(J439="Já existe verba aprovada para esse tema",J439="Entra no orçamento do próximo ciclo")),"Alta",IF(OR(K439&lt;=45,J439="Já existe verba aprovada para esse tema"),"Média","Baixa")))</f>
        <v/>
      </c>
      <c r="S439" s="17"/>
      <c r="T439" s="17"/>
      <c r="U439" s="17"/>
      <c r="V439" s="17"/>
      <c r="W439" s="17"/>
      <c r="X439" s="17"/>
    </row>
    <row r="440" customFormat="false" ht="15" hidden="false" customHeight="fals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6" t="str">
        <f aca="false">IF(K440="","",IF(AND(K440&lt;=45,OR(J440="Já existe verba aprovada para esse tema",J440="Entra no orçamento do próximo ciclo")),"Alta",IF(OR(K440&lt;=45,J440="Já existe verba aprovada para esse tema"),"Média","Baixa")))</f>
        <v/>
      </c>
      <c r="S440" s="17"/>
      <c r="T440" s="17"/>
      <c r="U440" s="17"/>
      <c r="V440" s="17"/>
      <c r="W440" s="17"/>
      <c r="X440" s="17"/>
    </row>
    <row r="441" customFormat="false" ht="15" hidden="false" customHeight="fals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6" t="str">
        <f aca="false">IF(K441="","",IF(AND(K441&lt;=45,OR(J441="Já existe verba aprovada para esse tema",J441="Entra no orçamento do próximo ciclo")),"Alta",IF(OR(K441&lt;=45,J441="Já existe verba aprovada para esse tema"),"Média","Baixa")))</f>
        <v/>
      </c>
      <c r="S441" s="17"/>
      <c r="T441" s="17"/>
      <c r="U441" s="17"/>
      <c r="V441" s="17"/>
      <c r="W441" s="17"/>
      <c r="X441" s="17"/>
    </row>
    <row r="442" customFormat="false" ht="15" hidden="false" customHeight="fals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6" t="str">
        <f aca="false">IF(K442="","",IF(AND(K442&lt;=45,OR(J442="Já existe verba aprovada para esse tema",J442="Entra no orçamento do próximo ciclo")),"Alta",IF(OR(K442&lt;=45,J442="Já existe verba aprovada para esse tema"),"Média","Baixa")))</f>
        <v/>
      </c>
      <c r="S442" s="17"/>
      <c r="T442" s="17"/>
      <c r="U442" s="17"/>
      <c r="V442" s="17"/>
      <c r="W442" s="17"/>
      <c r="X442" s="17"/>
    </row>
    <row r="443" customFormat="false" ht="15" hidden="false" customHeight="fals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6" t="str">
        <f aca="false">IF(K443="","",IF(AND(K443&lt;=45,OR(J443="Já existe verba aprovada para esse tema",J443="Entra no orçamento do próximo ciclo")),"Alta",IF(OR(K443&lt;=45,J443="Já existe verba aprovada para esse tema"),"Média","Baixa")))</f>
        <v/>
      </c>
      <c r="S443" s="17"/>
      <c r="T443" s="17"/>
      <c r="U443" s="17"/>
      <c r="V443" s="17"/>
      <c r="W443" s="17"/>
      <c r="X443" s="17"/>
    </row>
    <row r="444" customFormat="false" ht="15" hidden="false" customHeight="fals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6" t="str">
        <f aca="false">IF(K444="","",IF(AND(K444&lt;=45,OR(J444="Já existe verba aprovada para esse tema",J444="Entra no orçamento do próximo ciclo")),"Alta",IF(OR(K444&lt;=45,J444="Já existe verba aprovada para esse tema"),"Média","Baixa")))</f>
        <v/>
      </c>
      <c r="S444" s="17"/>
      <c r="T444" s="17"/>
      <c r="U444" s="17"/>
      <c r="V444" s="17"/>
      <c r="W444" s="17"/>
      <c r="X444" s="17"/>
    </row>
    <row r="445" customFormat="false" ht="15" hidden="false" customHeight="fals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6" t="str">
        <f aca="false">IF(K445="","",IF(AND(K445&lt;=45,OR(J445="Já existe verba aprovada para esse tema",J445="Entra no orçamento do próximo ciclo")),"Alta",IF(OR(K445&lt;=45,J445="Já existe verba aprovada para esse tema"),"Média","Baixa")))</f>
        <v/>
      </c>
      <c r="S445" s="17"/>
      <c r="T445" s="17"/>
      <c r="U445" s="17"/>
      <c r="V445" s="17"/>
      <c r="W445" s="17"/>
      <c r="X445" s="17"/>
    </row>
    <row r="446" customFormat="false" ht="15" hidden="false" customHeight="fals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6" t="str">
        <f aca="false">IF(K446="","",IF(AND(K446&lt;=45,OR(J446="Já existe verba aprovada para esse tema",J446="Entra no orçamento do próximo ciclo")),"Alta",IF(OR(K446&lt;=45,J446="Já existe verba aprovada para esse tema"),"Média","Baixa")))</f>
        <v/>
      </c>
      <c r="S446" s="17"/>
      <c r="T446" s="17"/>
      <c r="U446" s="17"/>
      <c r="V446" s="17"/>
      <c r="W446" s="17"/>
      <c r="X446" s="17"/>
    </row>
    <row r="447" customFormat="false" ht="15" hidden="false" customHeight="fals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6" t="str">
        <f aca="false">IF(K447="","",IF(AND(K447&lt;=45,OR(J447="Já existe verba aprovada para esse tema",J447="Entra no orçamento do próximo ciclo")),"Alta",IF(OR(K447&lt;=45,J447="Já existe verba aprovada para esse tema"),"Média","Baixa")))</f>
        <v/>
      </c>
      <c r="S447" s="17"/>
      <c r="T447" s="17"/>
      <c r="U447" s="17"/>
      <c r="V447" s="17"/>
      <c r="W447" s="17"/>
      <c r="X447" s="17"/>
    </row>
    <row r="448" customFormat="false" ht="15" hidden="false" customHeight="fals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6" t="str">
        <f aca="false">IF(K448="","",IF(AND(K448&lt;=45,OR(J448="Já existe verba aprovada para esse tema",J448="Entra no orçamento do próximo ciclo")),"Alta",IF(OR(K448&lt;=45,J448="Já existe verba aprovada para esse tema"),"Média","Baixa")))</f>
        <v/>
      </c>
      <c r="S448" s="17"/>
      <c r="T448" s="17"/>
      <c r="U448" s="17"/>
      <c r="V448" s="17"/>
      <c r="W448" s="17"/>
      <c r="X448" s="17"/>
    </row>
    <row r="449" customFormat="false" ht="15" hidden="false" customHeight="fals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6" t="str">
        <f aca="false">IF(K449="","",IF(AND(K449&lt;=45,OR(J449="Já existe verba aprovada para esse tema",J449="Entra no orçamento do próximo ciclo")),"Alta",IF(OR(K449&lt;=45,J449="Já existe verba aprovada para esse tema"),"Média","Baixa")))</f>
        <v/>
      </c>
      <c r="S449" s="17"/>
      <c r="T449" s="17"/>
      <c r="U449" s="17"/>
      <c r="V449" s="17"/>
      <c r="W449" s="17"/>
      <c r="X449" s="17"/>
    </row>
    <row r="450" customFormat="false" ht="15" hidden="false" customHeight="fals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6" t="str">
        <f aca="false">IF(K450="","",IF(AND(K450&lt;=45,OR(J450="Já existe verba aprovada para esse tema",J450="Entra no orçamento do próximo ciclo")),"Alta",IF(OR(K450&lt;=45,J450="Já existe verba aprovada para esse tema"),"Média","Baixa")))</f>
        <v/>
      </c>
      <c r="S450" s="17"/>
      <c r="T450" s="17"/>
      <c r="U450" s="17"/>
      <c r="V450" s="17"/>
      <c r="W450" s="17"/>
      <c r="X450" s="17"/>
    </row>
    <row r="451" customFormat="false" ht="15" hidden="false" customHeight="fals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6" t="str">
        <f aca="false">IF(K451="","",IF(AND(K451&lt;=45,OR(J451="Já existe verba aprovada para esse tema",J451="Entra no orçamento do próximo ciclo")),"Alta",IF(OR(K451&lt;=45,J451="Já existe verba aprovada para esse tema"),"Média","Baixa")))</f>
        <v/>
      </c>
      <c r="S451" s="17"/>
      <c r="T451" s="17"/>
      <c r="U451" s="17"/>
      <c r="V451" s="17"/>
      <c r="W451" s="17"/>
      <c r="X451" s="17"/>
    </row>
    <row r="452" customFormat="false" ht="15" hidden="false" customHeight="fals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6" t="str">
        <f aca="false">IF(K452="","",IF(AND(K452&lt;=45,OR(J452="Já existe verba aprovada para esse tema",J452="Entra no orçamento do próximo ciclo")),"Alta",IF(OR(K452&lt;=45,J452="Já existe verba aprovada para esse tema"),"Média","Baixa")))</f>
        <v/>
      </c>
      <c r="S452" s="17"/>
      <c r="T452" s="17"/>
      <c r="U452" s="17"/>
      <c r="V452" s="17"/>
      <c r="W452" s="17"/>
      <c r="X452" s="17"/>
    </row>
    <row r="453" customFormat="false" ht="15" hidden="false" customHeight="fals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6" t="str">
        <f aca="false">IF(K453="","",IF(AND(K453&lt;=45,OR(J453="Já existe verba aprovada para esse tema",J453="Entra no orçamento do próximo ciclo")),"Alta",IF(OR(K453&lt;=45,J453="Já existe verba aprovada para esse tema"),"Média","Baixa")))</f>
        <v/>
      </c>
      <c r="S453" s="17"/>
      <c r="T453" s="17"/>
      <c r="U453" s="17"/>
      <c r="V453" s="17"/>
      <c r="W453" s="17"/>
      <c r="X453" s="17"/>
    </row>
    <row r="454" customFormat="false" ht="15" hidden="false" customHeight="fals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6" t="str">
        <f aca="false">IF(K454="","",IF(AND(K454&lt;=45,OR(J454="Já existe verba aprovada para esse tema",J454="Entra no orçamento do próximo ciclo")),"Alta",IF(OR(K454&lt;=45,J454="Já existe verba aprovada para esse tema"),"Média","Baixa")))</f>
        <v/>
      </c>
      <c r="S454" s="17"/>
      <c r="T454" s="17"/>
      <c r="U454" s="17"/>
      <c r="V454" s="17"/>
      <c r="W454" s="17"/>
      <c r="X454" s="17"/>
    </row>
    <row r="455" customFormat="false" ht="15" hidden="false" customHeight="fals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6" t="str">
        <f aca="false">IF(K455="","",IF(AND(K455&lt;=45,OR(J455="Já existe verba aprovada para esse tema",J455="Entra no orçamento do próximo ciclo")),"Alta",IF(OR(K455&lt;=45,J455="Já existe verba aprovada para esse tema"),"Média","Baixa")))</f>
        <v/>
      </c>
      <c r="S455" s="17"/>
      <c r="T455" s="17"/>
      <c r="U455" s="17"/>
      <c r="V455" s="17"/>
      <c r="W455" s="17"/>
      <c r="X455" s="17"/>
    </row>
    <row r="456" customFormat="false" ht="15" hidden="false" customHeight="fals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6" t="str">
        <f aca="false">IF(K456="","",IF(AND(K456&lt;=45,OR(J456="Já existe verba aprovada para esse tema",J456="Entra no orçamento do próximo ciclo")),"Alta",IF(OR(K456&lt;=45,J456="Já existe verba aprovada para esse tema"),"Média","Baixa")))</f>
        <v/>
      </c>
      <c r="S456" s="17"/>
      <c r="T456" s="17"/>
      <c r="U456" s="17"/>
      <c r="V456" s="17"/>
      <c r="W456" s="17"/>
      <c r="X456" s="17"/>
    </row>
    <row r="457" customFormat="false" ht="15" hidden="false" customHeight="fals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6" t="str">
        <f aca="false">IF(K457="","",IF(AND(K457&lt;=45,OR(J457="Já existe verba aprovada para esse tema",J457="Entra no orçamento do próximo ciclo")),"Alta",IF(OR(K457&lt;=45,J457="Já existe verba aprovada para esse tema"),"Média","Baixa")))</f>
        <v/>
      </c>
      <c r="S457" s="17"/>
      <c r="T457" s="17"/>
      <c r="U457" s="17"/>
      <c r="V457" s="17"/>
      <c r="W457" s="17"/>
      <c r="X457" s="17"/>
    </row>
    <row r="458" customFormat="false" ht="15" hidden="false" customHeight="fals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6" t="str">
        <f aca="false">IF(K458="","",IF(AND(K458&lt;=45,OR(J458="Já existe verba aprovada para esse tema",J458="Entra no orçamento do próximo ciclo")),"Alta",IF(OR(K458&lt;=45,J458="Já existe verba aprovada para esse tema"),"Média","Baixa")))</f>
        <v/>
      </c>
      <c r="S458" s="17"/>
      <c r="T458" s="17"/>
      <c r="U458" s="17"/>
      <c r="V458" s="17"/>
      <c r="W458" s="17"/>
      <c r="X458" s="17"/>
    </row>
    <row r="459" customFormat="false" ht="15" hidden="false" customHeight="fals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6" t="str">
        <f aca="false">IF(K459="","",IF(AND(K459&lt;=45,OR(J459="Já existe verba aprovada para esse tema",J459="Entra no orçamento do próximo ciclo")),"Alta",IF(OR(K459&lt;=45,J459="Já existe verba aprovada para esse tema"),"Média","Baixa")))</f>
        <v/>
      </c>
      <c r="S459" s="17"/>
      <c r="T459" s="17"/>
      <c r="U459" s="17"/>
      <c r="V459" s="17"/>
      <c r="W459" s="17"/>
      <c r="X459" s="17"/>
    </row>
    <row r="460" customFormat="false" ht="15" hidden="false" customHeight="fals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6" t="str">
        <f aca="false">IF(K460="","",IF(AND(K460&lt;=45,OR(J460="Já existe verba aprovada para esse tema",J460="Entra no orçamento do próximo ciclo")),"Alta",IF(OR(K460&lt;=45,J460="Já existe verba aprovada para esse tema"),"Média","Baixa")))</f>
        <v/>
      </c>
      <c r="S460" s="17"/>
      <c r="T460" s="17"/>
      <c r="U460" s="17"/>
      <c r="V460" s="17"/>
      <c r="W460" s="17"/>
      <c r="X460" s="17"/>
    </row>
    <row r="461" customFormat="false" ht="15" hidden="false" customHeight="fals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6" t="str">
        <f aca="false">IF(K461="","",IF(AND(K461&lt;=45,OR(J461="Já existe verba aprovada para esse tema",J461="Entra no orçamento do próximo ciclo")),"Alta",IF(OR(K461&lt;=45,J461="Já existe verba aprovada para esse tema"),"Média","Baixa")))</f>
        <v/>
      </c>
      <c r="S461" s="17"/>
      <c r="T461" s="17"/>
      <c r="U461" s="17"/>
      <c r="V461" s="17"/>
      <c r="W461" s="17"/>
      <c r="X461" s="17"/>
    </row>
    <row r="462" customFormat="false" ht="15" hidden="false" customHeight="fals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6" t="str">
        <f aca="false">IF(K462="","",IF(AND(K462&lt;=45,OR(J462="Já existe verba aprovada para esse tema",J462="Entra no orçamento do próximo ciclo")),"Alta",IF(OR(K462&lt;=45,J462="Já existe verba aprovada para esse tema"),"Média","Baixa")))</f>
        <v/>
      </c>
      <c r="S462" s="17"/>
      <c r="T462" s="17"/>
      <c r="U462" s="17"/>
      <c r="V462" s="17"/>
      <c r="W462" s="17"/>
      <c r="X462" s="17"/>
    </row>
    <row r="463" customFormat="false" ht="15" hidden="false" customHeight="fals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6" t="str">
        <f aca="false">IF(K463="","",IF(AND(K463&lt;=45,OR(J463="Já existe verba aprovada para esse tema",J463="Entra no orçamento do próximo ciclo")),"Alta",IF(OR(K463&lt;=45,J463="Já existe verba aprovada para esse tema"),"Média","Baixa")))</f>
        <v/>
      </c>
      <c r="S463" s="17"/>
      <c r="T463" s="17"/>
      <c r="U463" s="17"/>
      <c r="V463" s="17"/>
      <c r="W463" s="17"/>
      <c r="X463" s="17"/>
    </row>
    <row r="464" customFormat="false" ht="15" hidden="false" customHeight="fals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6" t="str">
        <f aca="false">IF(K464="","",IF(AND(K464&lt;=45,OR(J464="Já existe verba aprovada para esse tema",J464="Entra no orçamento do próximo ciclo")),"Alta",IF(OR(K464&lt;=45,J464="Já existe verba aprovada para esse tema"),"Média","Baixa")))</f>
        <v/>
      </c>
      <c r="S464" s="17"/>
      <c r="T464" s="17"/>
      <c r="U464" s="17"/>
      <c r="V464" s="17"/>
      <c r="W464" s="17"/>
      <c r="X464" s="17"/>
    </row>
    <row r="465" customFormat="false" ht="15" hidden="false" customHeight="fals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6" t="str">
        <f aca="false">IF(K465="","",IF(AND(K465&lt;=45,OR(J465="Já existe verba aprovada para esse tema",J465="Entra no orçamento do próximo ciclo")),"Alta",IF(OR(K465&lt;=45,J465="Já existe verba aprovada para esse tema"),"Média","Baixa")))</f>
        <v/>
      </c>
      <c r="S465" s="17"/>
      <c r="T465" s="17"/>
      <c r="U465" s="17"/>
      <c r="V465" s="17"/>
      <c r="W465" s="17"/>
      <c r="X465" s="17"/>
    </row>
    <row r="466" customFormat="false" ht="15" hidden="false" customHeight="fals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6" t="str">
        <f aca="false">IF(K466="","",IF(AND(K466&lt;=45,OR(J466="Já existe verba aprovada para esse tema",J466="Entra no orçamento do próximo ciclo")),"Alta",IF(OR(K466&lt;=45,J466="Já existe verba aprovada para esse tema"),"Média","Baixa")))</f>
        <v/>
      </c>
      <c r="S466" s="17"/>
      <c r="T466" s="17"/>
      <c r="U466" s="17"/>
      <c r="V466" s="17"/>
      <c r="W466" s="17"/>
      <c r="X466" s="17"/>
    </row>
    <row r="467" customFormat="false" ht="15" hidden="false" customHeight="fals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6" t="str">
        <f aca="false">IF(K467="","",IF(AND(K467&lt;=45,OR(J467="Já existe verba aprovada para esse tema",J467="Entra no orçamento do próximo ciclo")),"Alta",IF(OR(K467&lt;=45,J467="Já existe verba aprovada para esse tema"),"Média","Baixa")))</f>
        <v/>
      </c>
      <c r="S467" s="17"/>
      <c r="T467" s="17"/>
      <c r="U467" s="17"/>
      <c r="V467" s="17"/>
      <c r="W467" s="17"/>
      <c r="X467" s="17"/>
    </row>
    <row r="468" customFormat="false" ht="15" hidden="false" customHeight="fals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6" t="str">
        <f aca="false">IF(K468="","",IF(AND(K468&lt;=45,OR(J468="Já existe verba aprovada para esse tema",J468="Entra no orçamento do próximo ciclo")),"Alta",IF(OR(K468&lt;=45,J468="Já existe verba aprovada para esse tema"),"Média","Baixa")))</f>
        <v/>
      </c>
      <c r="S468" s="17"/>
      <c r="T468" s="17"/>
      <c r="U468" s="17"/>
      <c r="V468" s="17"/>
      <c r="W468" s="17"/>
      <c r="X468" s="17"/>
    </row>
    <row r="469" customFormat="false" ht="15" hidden="false" customHeight="fals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6" t="str">
        <f aca="false">IF(K469="","",IF(AND(K469&lt;=45,OR(J469="Já existe verba aprovada para esse tema",J469="Entra no orçamento do próximo ciclo")),"Alta",IF(OR(K469&lt;=45,J469="Já existe verba aprovada para esse tema"),"Média","Baixa")))</f>
        <v/>
      </c>
      <c r="S469" s="17"/>
      <c r="T469" s="17"/>
      <c r="U469" s="17"/>
      <c r="V469" s="17"/>
      <c r="W469" s="17"/>
      <c r="X469" s="17"/>
    </row>
    <row r="470" customFormat="false" ht="15" hidden="false" customHeight="fals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6" t="str">
        <f aca="false">IF(K470="","",IF(AND(K470&lt;=45,OR(J470="Já existe verba aprovada para esse tema",J470="Entra no orçamento do próximo ciclo")),"Alta",IF(OR(K470&lt;=45,J470="Já existe verba aprovada para esse tema"),"Média","Baixa")))</f>
        <v/>
      </c>
      <c r="S470" s="17"/>
      <c r="T470" s="17"/>
      <c r="U470" s="17"/>
      <c r="V470" s="17"/>
      <c r="W470" s="17"/>
      <c r="X470" s="17"/>
    </row>
    <row r="471" customFormat="false" ht="15" hidden="false" customHeight="fals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6" t="str">
        <f aca="false">IF(K471="","",IF(AND(K471&lt;=45,OR(J471="Já existe verba aprovada para esse tema",J471="Entra no orçamento do próximo ciclo")),"Alta",IF(OR(K471&lt;=45,J471="Já existe verba aprovada para esse tema"),"Média","Baixa")))</f>
        <v/>
      </c>
      <c r="S471" s="17"/>
      <c r="T471" s="17"/>
      <c r="U471" s="17"/>
      <c r="V471" s="17"/>
      <c r="W471" s="17"/>
      <c r="X471" s="17"/>
    </row>
    <row r="472" customFormat="false" ht="15" hidden="false" customHeight="fals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6" t="str">
        <f aca="false">IF(K472="","",IF(AND(K472&lt;=45,OR(J472="Já existe verba aprovada para esse tema",J472="Entra no orçamento do próximo ciclo")),"Alta",IF(OR(K472&lt;=45,J472="Já existe verba aprovada para esse tema"),"Média","Baixa")))</f>
        <v/>
      </c>
      <c r="S472" s="17"/>
      <c r="T472" s="17"/>
      <c r="U472" s="17"/>
      <c r="V472" s="17"/>
      <c r="W472" s="17"/>
      <c r="X472" s="17"/>
    </row>
    <row r="473" customFormat="false" ht="15" hidden="false" customHeight="fals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6" t="str">
        <f aca="false">IF(K473="","",IF(AND(K473&lt;=45,OR(J473="Já existe verba aprovada para esse tema",J473="Entra no orçamento do próximo ciclo")),"Alta",IF(OR(K473&lt;=45,J473="Já existe verba aprovada para esse tema"),"Média","Baixa")))</f>
        <v/>
      </c>
      <c r="S473" s="17"/>
      <c r="T473" s="17"/>
      <c r="U473" s="17"/>
      <c r="V473" s="17"/>
      <c r="W473" s="17"/>
      <c r="X473" s="17"/>
    </row>
    <row r="474" customFormat="false" ht="15" hidden="false" customHeight="fals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6" t="str">
        <f aca="false">IF(K474="","",IF(AND(K474&lt;=45,OR(J474="Já existe verba aprovada para esse tema",J474="Entra no orçamento do próximo ciclo")),"Alta",IF(OR(K474&lt;=45,J474="Já existe verba aprovada para esse tema"),"Média","Baixa")))</f>
        <v/>
      </c>
      <c r="S474" s="17"/>
      <c r="T474" s="17"/>
      <c r="U474" s="17"/>
      <c r="V474" s="17"/>
      <c r="W474" s="17"/>
      <c r="X474" s="17"/>
    </row>
    <row r="475" customFormat="false" ht="15" hidden="false" customHeight="fals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6" t="str">
        <f aca="false">IF(K475="","",IF(AND(K475&lt;=45,OR(J475="Já existe verba aprovada para esse tema",J475="Entra no orçamento do próximo ciclo")),"Alta",IF(OR(K475&lt;=45,J475="Já existe verba aprovada para esse tema"),"Média","Baixa")))</f>
        <v/>
      </c>
      <c r="S475" s="17"/>
      <c r="T475" s="17"/>
      <c r="U475" s="17"/>
      <c r="V475" s="17"/>
      <c r="W475" s="17"/>
      <c r="X475" s="17"/>
    </row>
    <row r="476" customFormat="false" ht="15" hidden="false" customHeight="fals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6" t="str">
        <f aca="false">IF(K476="","",IF(AND(K476&lt;=45,OR(J476="Já existe verba aprovada para esse tema",J476="Entra no orçamento do próximo ciclo")),"Alta",IF(OR(K476&lt;=45,J476="Já existe verba aprovada para esse tema"),"Média","Baixa")))</f>
        <v/>
      </c>
      <c r="S476" s="17"/>
      <c r="T476" s="17"/>
      <c r="U476" s="17"/>
      <c r="V476" s="17"/>
      <c r="W476" s="17"/>
      <c r="X476" s="17"/>
    </row>
    <row r="477" customFormat="false" ht="15" hidden="false" customHeight="fals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6" t="str">
        <f aca="false">IF(K477="","",IF(AND(K477&lt;=45,OR(J477="Já existe verba aprovada para esse tema",J477="Entra no orçamento do próximo ciclo")),"Alta",IF(OR(K477&lt;=45,J477="Já existe verba aprovada para esse tema"),"Média","Baixa")))</f>
        <v/>
      </c>
      <c r="S477" s="17"/>
      <c r="T477" s="17"/>
      <c r="U477" s="17"/>
      <c r="V477" s="17"/>
      <c r="W477" s="17"/>
      <c r="X477" s="17"/>
    </row>
    <row r="478" customFormat="false" ht="15" hidden="false" customHeight="fals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6" t="str">
        <f aca="false">IF(K478="","",IF(AND(K478&lt;=45,OR(J478="Já existe verba aprovada para esse tema",J478="Entra no orçamento do próximo ciclo")),"Alta",IF(OR(K478&lt;=45,J478="Já existe verba aprovada para esse tema"),"Média","Baixa")))</f>
        <v/>
      </c>
      <c r="S478" s="17"/>
      <c r="T478" s="17"/>
      <c r="U478" s="17"/>
      <c r="V478" s="17"/>
      <c r="W478" s="17"/>
      <c r="X478" s="17"/>
    </row>
    <row r="479" customFormat="false" ht="15" hidden="false" customHeight="fals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6" t="str">
        <f aca="false">IF(K479="","",IF(AND(K479&lt;=45,OR(J479="Já existe verba aprovada para esse tema",J479="Entra no orçamento do próximo ciclo")),"Alta",IF(OR(K479&lt;=45,J479="Já existe verba aprovada para esse tema"),"Média","Baixa")))</f>
        <v/>
      </c>
      <c r="S479" s="17"/>
      <c r="T479" s="17"/>
      <c r="U479" s="17"/>
      <c r="V479" s="17"/>
      <c r="W479" s="17"/>
      <c r="X479" s="17"/>
    </row>
    <row r="480" customFormat="false" ht="15" hidden="false" customHeight="fals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6" t="str">
        <f aca="false">IF(K480="","",IF(AND(K480&lt;=45,OR(J480="Já existe verba aprovada para esse tema",J480="Entra no orçamento do próximo ciclo")),"Alta",IF(OR(K480&lt;=45,J480="Já existe verba aprovada para esse tema"),"Média","Baixa")))</f>
        <v/>
      </c>
      <c r="S480" s="17"/>
      <c r="T480" s="17"/>
      <c r="U480" s="17"/>
      <c r="V480" s="17"/>
      <c r="W480" s="17"/>
      <c r="X480" s="17"/>
    </row>
    <row r="481" customFormat="false" ht="15" hidden="false" customHeight="fals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6" t="str">
        <f aca="false">IF(K481="","",IF(AND(K481&lt;=45,OR(J481="Já existe verba aprovada para esse tema",J481="Entra no orçamento do próximo ciclo")),"Alta",IF(OR(K481&lt;=45,J481="Já existe verba aprovada para esse tema"),"Média","Baixa")))</f>
        <v/>
      </c>
      <c r="S481" s="17"/>
      <c r="T481" s="17"/>
      <c r="U481" s="17"/>
      <c r="V481" s="17"/>
      <c r="W481" s="17"/>
      <c r="X481" s="17"/>
    </row>
    <row r="482" customFormat="false" ht="15" hidden="false" customHeight="fals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6" t="str">
        <f aca="false">IF(K482="","",IF(AND(K482&lt;=45,OR(J482="Já existe verba aprovada para esse tema",J482="Entra no orçamento do próximo ciclo")),"Alta",IF(OR(K482&lt;=45,J482="Já existe verba aprovada para esse tema"),"Média","Baixa")))</f>
        <v/>
      </c>
      <c r="S482" s="17"/>
      <c r="T482" s="17"/>
      <c r="U482" s="17"/>
      <c r="V482" s="17"/>
      <c r="W482" s="17"/>
      <c r="X482" s="17"/>
    </row>
    <row r="483" customFormat="false" ht="15" hidden="false" customHeight="fals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6" t="str">
        <f aca="false">IF(K483="","",IF(AND(K483&lt;=45,OR(J483="Já existe verba aprovada para esse tema",J483="Entra no orçamento do próximo ciclo")),"Alta",IF(OR(K483&lt;=45,J483="Já existe verba aprovada para esse tema"),"Média","Baixa")))</f>
        <v/>
      </c>
      <c r="S483" s="17"/>
      <c r="T483" s="17"/>
      <c r="U483" s="17"/>
      <c r="V483" s="17"/>
      <c r="W483" s="17"/>
      <c r="X483" s="17"/>
    </row>
    <row r="484" customFormat="false" ht="15" hidden="false" customHeight="fals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6" t="str">
        <f aca="false">IF(K484="","",IF(AND(K484&lt;=45,OR(J484="Já existe verba aprovada para esse tema",J484="Entra no orçamento do próximo ciclo")),"Alta",IF(OR(K484&lt;=45,J484="Já existe verba aprovada para esse tema"),"Média","Baixa")))</f>
        <v/>
      </c>
      <c r="S484" s="17"/>
      <c r="T484" s="17"/>
      <c r="U484" s="17"/>
      <c r="V484" s="17"/>
      <c r="W484" s="17"/>
      <c r="X484" s="17"/>
    </row>
    <row r="485" customFormat="false" ht="15" hidden="false" customHeight="fals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6" t="str">
        <f aca="false">IF(K485="","",IF(AND(K485&lt;=45,OR(J485="Já existe verba aprovada para esse tema",J485="Entra no orçamento do próximo ciclo")),"Alta",IF(OR(K485&lt;=45,J485="Já existe verba aprovada para esse tema"),"Média","Baixa")))</f>
        <v/>
      </c>
      <c r="S485" s="17"/>
      <c r="T485" s="17"/>
      <c r="U485" s="17"/>
      <c r="V485" s="17"/>
      <c r="W485" s="17"/>
      <c r="X485" s="17"/>
    </row>
    <row r="486" customFormat="false" ht="15" hidden="false" customHeight="fals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6" t="str">
        <f aca="false">IF(K486="","",IF(AND(K486&lt;=45,OR(J486="Já existe verba aprovada para esse tema",J486="Entra no orçamento do próximo ciclo")),"Alta",IF(OR(K486&lt;=45,J486="Já existe verba aprovada para esse tema"),"Média","Baixa")))</f>
        <v/>
      </c>
      <c r="S486" s="17"/>
      <c r="T486" s="17"/>
      <c r="U486" s="17"/>
      <c r="V486" s="17"/>
      <c r="W486" s="17"/>
      <c r="X486" s="17"/>
    </row>
    <row r="487" customFormat="false" ht="15" hidden="false" customHeight="fals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6" t="str">
        <f aca="false">IF(K487="","",IF(AND(K487&lt;=45,OR(J487="Já existe verba aprovada para esse tema",J487="Entra no orçamento do próximo ciclo")),"Alta",IF(OR(K487&lt;=45,J487="Já existe verba aprovada para esse tema"),"Média","Baixa")))</f>
        <v/>
      </c>
      <c r="S487" s="17"/>
      <c r="T487" s="17"/>
      <c r="U487" s="17"/>
      <c r="V487" s="17"/>
      <c r="W487" s="17"/>
      <c r="X487" s="17"/>
    </row>
    <row r="488" customFormat="false" ht="15" hidden="false" customHeight="fals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6" t="str">
        <f aca="false">IF(K488="","",IF(AND(K488&lt;=45,OR(J488="Já existe verba aprovada para esse tema",J488="Entra no orçamento do próximo ciclo")),"Alta",IF(OR(K488&lt;=45,J488="Já existe verba aprovada para esse tema"),"Média","Baixa")))</f>
        <v/>
      </c>
      <c r="S488" s="17"/>
      <c r="T488" s="17"/>
      <c r="U488" s="17"/>
      <c r="V488" s="17"/>
      <c r="W488" s="17"/>
      <c r="X488" s="17"/>
    </row>
    <row r="489" customFormat="false" ht="15" hidden="false" customHeight="fals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6" t="str">
        <f aca="false">IF(K489="","",IF(AND(K489&lt;=45,OR(J489="Já existe verba aprovada para esse tema",J489="Entra no orçamento do próximo ciclo")),"Alta",IF(OR(K489&lt;=45,J489="Já existe verba aprovada para esse tema"),"Média","Baixa")))</f>
        <v/>
      </c>
      <c r="S489" s="17"/>
      <c r="T489" s="17"/>
      <c r="U489" s="17"/>
      <c r="V489" s="17"/>
      <c r="W489" s="17"/>
      <c r="X489" s="17"/>
    </row>
    <row r="490" customFormat="false" ht="15" hidden="false" customHeight="fals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6" t="str">
        <f aca="false">IF(K490="","",IF(AND(K490&lt;=45,OR(J490="Já existe verba aprovada para esse tema",J490="Entra no orçamento do próximo ciclo")),"Alta",IF(OR(K490&lt;=45,J490="Já existe verba aprovada para esse tema"),"Média","Baixa")))</f>
        <v/>
      </c>
      <c r="S490" s="17"/>
      <c r="T490" s="17"/>
      <c r="U490" s="17"/>
      <c r="V490" s="17"/>
      <c r="W490" s="17"/>
      <c r="X490" s="17"/>
    </row>
    <row r="491" customFormat="false" ht="15" hidden="false" customHeight="fals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6" t="str">
        <f aca="false">IF(K491="","",IF(AND(K491&lt;=45,OR(J491="Já existe verba aprovada para esse tema",J491="Entra no orçamento do próximo ciclo")),"Alta",IF(OR(K491&lt;=45,J491="Já existe verba aprovada para esse tema"),"Média","Baixa")))</f>
        <v/>
      </c>
      <c r="S491" s="17"/>
      <c r="T491" s="17"/>
      <c r="U491" s="17"/>
      <c r="V491" s="17"/>
      <c r="W491" s="17"/>
      <c r="X491" s="17"/>
    </row>
    <row r="492" customFormat="false" ht="15" hidden="false" customHeight="fals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6" t="str">
        <f aca="false">IF(K492="","",IF(AND(K492&lt;=45,OR(J492="Já existe verba aprovada para esse tema",J492="Entra no orçamento do próximo ciclo")),"Alta",IF(OR(K492&lt;=45,J492="Já existe verba aprovada para esse tema"),"Média","Baixa")))</f>
        <v/>
      </c>
      <c r="S492" s="17"/>
      <c r="T492" s="17"/>
      <c r="U492" s="17"/>
      <c r="V492" s="17"/>
      <c r="W492" s="17"/>
      <c r="X492" s="17"/>
    </row>
    <row r="493" customFormat="false" ht="15" hidden="false" customHeight="fals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6" t="str">
        <f aca="false">IF(K493="","",IF(AND(K493&lt;=45,OR(J493="Já existe verba aprovada para esse tema",J493="Entra no orçamento do próximo ciclo")),"Alta",IF(OR(K493&lt;=45,J493="Já existe verba aprovada para esse tema"),"Média","Baixa")))</f>
        <v/>
      </c>
      <c r="S493" s="17"/>
      <c r="T493" s="17"/>
      <c r="U493" s="17"/>
      <c r="V493" s="17"/>
      <c r="W493" s="17"/>
      <c r="X493" s="17"/>
    </row>
    <row r="494" customFormat="false" ht="15" hidden="false" customHeight="fals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6" t="str">
        <f aca="false">IF(K494="","",IF(AND(K494&lt;=45,OR(J494="Já existe verba aprovada para esse tema",J494="Entra no orçamento do próximo ciclo")),"Alta",IF(OR(K494&lt;=45,J494="Já existe verba aprovada para esse tema"),"Média","Baixa")))</f>
        <v/>
      </c>
      <c r="S494" s="17"/>
      <c r="T494" s="17"/>
      <c r="U494" s="17"/>
      <c r="V494" s="17"/>
      <c r="W494" s="17"/>
      <c r="X494" s="17"/>
    </row>
    <row r="495" customFormat="false" ht="15" hidden="false" customHeight="fals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6" t="str">
        <f aca="false">IF(K495="","",IF(AND(K495&lt;=45,OR(J495="Já existe verba aprovada para esse tema",J495="Entra no orçamento do próximo ciclo")),"Alta",IF(OR(K495&lt;=45,J495="Já existe verba aprovada para esse tema"),"Média","Baixa")))</f>
        <v/>
      </c>
      <c r="S495" s="17"/>
      <c r="T495" s="17"/>
      <c r="U495" s="17"/>
      <c r="V495" s="17"/>
      <c r="W495" s="17"/>
      <c r="X495" s="17"/>
    </row>
    <row r="496" customFormat="false" ht="15" hidden="false" customHeight="fals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6" t="str">
        <f aca="false">IF(K496="","",IF(AND(K496&lt;=45,OR(J496="Já existe verba aprovada para esse tema",J496="Entra no orçamento do próximo ciclo")),"Alta",IF(OR(K496&lt;=45,J496="Já existe verba aprovada para esse tema"),"Média","Baixa")))</f>
        <v/>
      </c>
      <c r="S496" s="17"/>
      <c r="T496" s="17"/>
      <c r="U496" s="17"/>
      <c r="V496" s="17"/>
      <c r="W496" s="17"/>
      <c r="X496" s="17"/>
    </row>
    <row r="497" customFormat="false" ht="15" hidden="false" customHeight="fals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6" t="str">
        <f aca="false">IF(K497="","",IF(AND(K497&lt;=45,OR(J497="Já existe verba aprovada para esse tema",J497="Entra no orçamento do próximo ciclo")),"Alta",IF(OR(K497&lt;=45,J497="Já existe verba aprovada para esse tema"),"Média","Baixa")))</f>
        <v/>
      </c>
      <c r="S497" s="17"/>
      <c r="T497" s="17"/>
      <c r="U497" s="17"/>
      <c r="V497" s="17"/>
      <c r="W497" s="17"/>
      <c r="X497" s="17"/>
    </row>
    <row r="498" customFormat="false" ht="15" hidden="false" customHeight="fals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6" t="str">
        <f aca="false">IF(K498="","",IF(AND(K498&lt;=45,OR(J498="Já existe verba aprovada para esse tema",J498="Entra no orçamento do próximo ciclo")),"Alta",IF(OR(K498&lt;=45,J498="Já existe verba aprovada para esse tema"),"Média","Baixa")))</f>
        <v/>
      </c>
      <c r="S498" s="17"/>
      <c r="T498" s="17"/>
      <c r="U498" s="17"/>
      <c r="V498" s="17"/>
      <c r="W498" s="17"/>
      <c r="X498" s="17"/>
    </row>
    <row r="499" customFormat="false" ht="15" hidden="false" customHeight="fals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6" t="str">
        <f aca="false">IF(K499="","",IF(AND(K499&lt;=45,OR(J499="Já existe verba aprovada para esse tema",J499="Entra no orçamento do próximo ciclo")),"Alta",IF(OR(K499&lt;=45,J499="Já existe verba aprovada para esse tema"),"Média","Baixa")))</f>
        <v/>
      </c>
      <c r="S499" s="17"/>
      <c r="T499" s="17"/>
      <c r="U499" s="17"/>
      <c r="V499" s="17"/>
      <c r="W499" s="17"/>
      <c r="X499" s="17"/>
    </row>
    <row r="500" customFormat="false" ht="15" hidden="false" customHeight="fals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6" t="str">
        <f aca="false">IF(K500="","",IF(AND(K500&lt;=45,OR(J500="Já existe verba aprovada para esse tema",J500="Entra no orçamento do próximo ciclo")),"Alta",IF(OR(K500&lt;=45,J500="Já existe verba aprovada para esse tema"),"Média","Baixa")))</f>
        <v/>
      </c>
      <c r="S500" s="17"/>
      <c r="T500" s="17"/>
      <c r="U500" s="17"/>
      <c r="V500" s="17"/>
      <c r="W500" s="17"/>
      <c r="X500" s="17"/>
    </row>
    <row r="501" customFormat="false" ht="15" hidden="false" customHeight="fals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6" t="str">
        <f aca="false">IF(K501="","",IF(AND(K501&lt;=45,OR(J501="Já existe verba aprovada para esse tema",J501="Entra no orçamento do próximo ciclo")),"Alta",IF(OR(K501&lt;=45,J501="Já existe verba aprovada para esse tema"),"Média","Baixa")))</f>
        <v/>
      </c>
      <c r="S501" s="17"/>
      <c r="T501" s="17"/>
      <c r="U501" s="17"/>
      <c r="V501" s="17"/>
      <c r="W501" s="17"/>
      <c r="X501" s="17"/>
    </row>
    <row r="502" customFormat="false" ht="15" hidden="false" customHeight="fals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6" t="str">
        <f aca="false">IF(K502="","",IF(AND(K502&lt;=45,OR(J502="Já existe verba aprovada para esse tema",J502="Entra no orçamento do próximo ciclo")),"Alta",IF(OR(K502&lt;=45,J502="Já existe verba aprovada para esse tema"),"Média","Baixa")))</f>
        <v/>
      </c>
      <c r="S502" s="17"/>
      <c r="T502" s="17"/>
      <c r="U502" s="17"/>
      <c r="V502" s="17"/>
      <c r="W502" s="17"/>
      <c r="X502" s="17"/>
    </row>
    <row r="503" customFormat="false" ht="15" hidden="false" customHeight="fals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6" t="str">
        <f aca="false">IF(K503="","",IF(AND(K503&lt;=45,OR(J503="Já existe verba aprovada para esse tema",J503="Entra no orçamento do próximo ciclo")),"Alta",IF(OR(K503&lt;=45,J503="Já existe verba aprovada para esse tema"),"Média","Baixa")))</f>
        <v/>
      </c>
      <c r="S503" s="17"/>
      <c r="T503" s="17"/>
      <c r="U503" s="17"/>
      <c r="V503" s="17"/>
      <c r="W503" s="17"/>
      <c r="X503" s="17"/>
    </row>
  </sheetData>
  <autoFilter ref="A3:X503"/>
  <mergeCells count="2">
    <mergeCell ref="A1:X1"/>
    <mergeCell ref="A2:X2"/>
  </mergeCells>
  <conditionalFormatting sqref="K4:K503">
    <cfRule type="cellIs" priority="2" operator="lessThanOrEqual" aboveAverage="0" equalAverage="0" bottom="0" percent="0" rank="0" text="" dxfId="12">
      <formula>33</formula>
    </cfRule>
    <cfRule type="cellIs" priority="3" operator="between" aboveAverage="0" equalAverage="0" bottom="0" percent="0" rank="0" text="" dxfId="13">
      <formula>34</formula>
      <formula>66</formula>
    </cfRule>
    <cfRule type="cellIs" priority="4" operator="greaterThanOrEqual" aboveAverage="0" equalAverage="0" bottom="0" percent="0" rank="0" text="" dxfId="14">
      <formula>67</formula>
    </cfRule>
  </conditionalFormatting>
  <conditionalFormatting sqref="M4:P503">
    <cfRule type="colorScale" priority="5">
      <colorScale>
        <cfvo type="num" val="0"/>
        <cfvo type="num" val="50"/>
        <cfvo type="num" val="100"/>
        <color rgb="FFF5C6C2"/>
        <color rgb="FFFDEFD3"/>
        <color rgb="FFCDE9D9"/>
      </colorScale>
    </cfRule>
  </conditionalFormatting>
  <conditionalFormatting sqref="R4:R503">
    <cfRule type="cellIs" priority="6" operator="equal" aboveAverage="0" equalAverage="0" bottom="0" percent="0" rank="0" text="" dxfId="15">
      <formula>"Alta"</formula>
    </cfRule>
    <cfRule type="cellIs" priority="7" operator="equal" aboveAverage="0" equalAverage="0" bottom="0" percent="0" rank="0" text="" dxfId="16">
      <formula>"Média"</formula>
    </cfRule>
  </conditionalFormatting>
  <dataValidations count="2">
    <dataValidation allowBlank="true" errorStyle="stop" operator="between" showDropDown="false" showErrorMessage="false" showInputMessage="false" sqref="W4:W503" type="list">
      <formula1>"Novo,Contatado,Reunião agendada,Qualificado,Descartado"</formula1>
      <formula2>0</formula2>
    </dataValidation>
    <dataValidation allowBlank="true" errorStyle="stop" operator="between" showDropDown="false" showErrorMessage="false" showInputMessage="false" sqref="U4:U503" type="list">
      <formula1>"Web,VR,VR 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7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34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16" min="14" style="0" width="13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34"/>
    <col collapsed="false" customWidth="true" hidden="false" outlineLevel="0" max="22" min="22" style="0" width="16"/>
    <col collapsed="false" customWidth="true" hidden="false" outlineLevel="0" max="23" min="23" style="0" width="18"/>
    <col collapsed="false" customWidth="true" hidden="false" outlineLevel="0" max="24" min="24" style="0" width="40"/>
  </cols>
  <sheetData>
    <row r="1" customFormat="false" ht="25.5" hidden="false" customHeight="true" outlineLevel="0" collapsed="false">
      <c r="A1" s="19" t="s">
        <v>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customFormat="false" ht="18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33.75" hidden="false" customHeight="true" outlineLevel="0" collapsed="false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28</v>
      </c>
      <c r="H3" s="13" t="s">
        <v>42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89</v>
      </c>
      <c r="N3" s="13" t="s">
        <v>90</v>
      </c>
      <c r="O3" s="13" t="s">
        <v>91</v>
      </c>
      <c r="P3" s="13" t="s">
        <v>92</v>
      </c>
      <c r="Q3" s="13" t="s">
        <v>52</v>
      </c>
      <c r="R3" s="13" t="s">
        <v>53</v>
      </c>
      <c r="S3" s="13" t="s">
        <v>54</v>
      </c>
      <c r="T3" s="13" t="s">
        <v>55</v>
      </c>
      <c r="U3" s="13" t="s">
        <v>56</v>
      </c>
      <c r="V3" s="13" t="s">
        <v>57</v>
      </c>
      <c r="W3" s="13" t="s">
        <v>58</v>
      </c>
      <c r="X3" s="13" t="s">
        <v>59</v>
      </c>
    </row>
    <row r="4" customFormat="false" ht="22.35" hidden="false" customHeight="false" outlineLevel="0" collapsed="false">
      <c r="A4" s="14" t="s">
        <v>93</v>
      </c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5" t="s">
        <v>31</v>
      </c>
      <c r="H4" s="14" t="s">
        <v>99</v>
      </c>
      <c r="I4" s="15" t="s">
        <v>100</v>
      </c>
      <c r="J4" s="15" t="s">
        <v>25</v>
      </c>
      <c r="K4" s="14" t="n">
        <v>29</v>
      </c>
      <c r="L4" s="14" t="s">
        <v>101</v>
      </c>
      <c r="M4" s="14" t="n">
        <v>17</v>
      </c>
      <c r="N4" s="14" t="n">
        <v>33</v>
      </c>
      <c r="O4" s="14" t="n">
        <v>33</v>
      </c>
      <c r="P4" s="14" t="n">
        <v>33</v>
      </c>
      <c r="Q4" s="14" t="s">
        <v>19</v>
      </c>
      <c r="R4" s="16" t="str">
        <f aca="false">IF(K4="","",IF(AND(K4&lt;=45,OR(J4="Já existe verba aprovada para esse tema",J4="Entra no orçamento do próximo ciclo")),"Alta",IF(OR(K4&lt;=45,J4="Já existe verba aprovada para esse tema"),"Média","Baixa")))</f>
        <v>Média</v>
      </c>
      <c r="S4" s="14" t="n">
        <v>151</v>
      </c>
      <c r="T4" s="14" t="s">
        <v>69</v>
      </c>
      <c r="U4" s="14" t="s">
        <v>102</v>
      </c>
      <c r="V4" s="14" t="s">
        <v>71</v>
      </c>
      <c r="W4" s="14"/>
      <c r="X4" s="14"/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6" t="str">
        <f aca="false">IF(K5="","",IF(AND(K5&lt;=45,OR(J5="Já existe verba aprovada para esse tema",J5="Entra no orçamento do próximo ciclo")),"Alta",IF(OR(K5&lt;=45,J5="Já existe verba aprovada para esse tema"),"Média","Baixa")))</f>
        <v/>
      </c>
      <c r="S5" s="17"/>
      <c r="T5" s="17"/>
      <c r="U5" s="17"/>
      <c r="V5" s="17"/>
      <c r="W5" s="17"/>
      <c r="X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6" t="str">
        <f aca="false">IF(K6="","",IF(AND(K6&lt;=45,OR(J6="Já existe verba aprovada para esse tema",J6="Entra no orçamento do próximo ciclo")),"Alta",IF(OR(K6&lt;=45,J6="Já existe verba aprovada para esse tema"),"Média","Baixa")))</f>
        <v/>
      </c>
      <c r="S6" s="17"/>
      <c r="T6" s="17"/>
      <c r="U6" s="17"/>
      <c r="V6" s="17"/>
      <c r="W6" s="17"/>
      <c r="X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6" t="str">
        <f aca="false">IF(K7="","",IF(AND(K7&lt;=45,OR(J7="Já existe verba aprovada para esse tema",J7="Entra no orçamento do próximo ciclo")),"Alta",IF(OR(K7&lt;=45,J7="Já existe verba aprovada para esse tema"),"Média","Baixa")))</f>
        <v/>
      </c>
      <c r="S7" s="17"/>
      <c r="T7" s="17"/>
      <c r="U7" s="17"/>
      <c r="V7" s="17"/>
      <c r="W7" s="17"/>
      <c r="X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6" t="str">
        <f aca="false">IF(K8="","",IF(AND(K8&lt;=45,OR(J8="Já existe verba aprovada para esse tema",J8="Entra no orçamento do próximo ciclo")),"Alta",IF(OR(K8&lt;=45,J8="Já existe verba aprovada para esse tema"),"Média","Baixa")))</f>
        <v/>
      </c>
      <c r="S8" s="17"/>
      <c r="T8" s="17"/>
      <c r="U8" s="17"/>
      <c r="V8" s="17"/>
      <c r="W8" s="17"/>
      <c r="X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6" t="str">
        <f aca="false">IF(K9="","",IF(AND(K9&lt;=45,OR(J9="Já existe verba aprovada para esse tema",J9="Entra no orçamento do próximo ciclo")),"Alta",IF(OR(K9&lt;=45,J9="Já existe verba aprovada para esse tema"),"Média","Baixa")))</f>
        <v/>
      </c>
      <c r="S9" s="17"/>
      <c r="T9" s="17"/>
      <c r="U9" s="17"/>
      <c r="V9" s="17"/>
      <c r="W9" s="17"/>
      <c r="X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 t="str">
        <f aca="false">IF(K10="","",IF(AND(K10&lt;=45,OR(J10="Já existe verba aprovada para esse tema",J10="Entra no orçamento do próximo ciclo")),"Alta",IF(OR(K10&lt;=45,J10="Já existe verba aprovada para esse tema"),"Média","Baixa")))</f>
        <v/>
      </c>
      <c r="S10" s="17"/>
      <c r="T10" s="17"/>
      <c r="U10" s="17"/>
      <c r="V10" s="17"/>
      <c r="W10" s="17"/>
      <c r="X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6" t="str">
        <f aca="false">IF(K11="","",IF(AND(K11&lt;=45,OR(J11="Já existe verba aprovada para esse tema",J11="Entra no orçamento do próximo ciclo")),"Alta",IF(OR(K11&lt;=45,J11="Já existe verba aprovada para esse tema"),"Média","Baixa")))</f>
        <v/>
      </c>
      <c r="S11" s="17"/>
      <c r="T11" s="17"/>
      <c r="U11" s="17"/>
      <c r="V11" s="17"/>
      <c r="W11" s="17"/>
      <c r="X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6" t="str">
        <f aca="false">IF(K12="","",IF(AND(K12&lt;=45,OR(J12="Já existe verba aprovada para esse tema",J12="Entra no orçamento do próximo ciclo")),"Alta",IF(OR(K12&lt;=45,J12="Já existe verba aprovada para esse tema"),"Média","Baixa")))</f>
        <v/>
      </c>
      <c r="S12" s="17"/>
      <c r="T12" s="17"/>
      <c r="U12" s="17"/>
      <c r="V12" s="17"/>
      <c r="W12" s="17"/>
      <c r="X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6" t="str">
        <f aca="false">IF(K13="","",IF(AND(K13&lt;=45,OR(J13="Já existe verba aprovada para esse tema",J13="Entra no orçamento do próximo ciclo")),"Alta",IF(OR(K13&lt;=45,J13="Já existe verba aprovada para esse tema"),"Média","Baixa")))</f>
        <v/>
      </c>
      <c r="S13" s="17"/>
      <c r="T13" s="17"/>
      <c r="U13" s="17"/>
      <c r="V13" s="17"/>
      <c r="W13" s="17"/>
      <c r="X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6" t="str">
        <f aca="false">IF(K14="","",IF(AND(K14&lt;=45,OR(J14="Já existe verba aprovada para esse tema",J14="Entra no orçamento do próximo ciclo")),"Alta",IF(OR(K14&lt;=45,J14="Já existe verba aprovada para esse tema"),"Média","Baixa")))</f>
        <v/>
      </c>
      <c r="S14" s="17"/>
      <c r="T14" s="17"/>
      <c r="U14" s="17"/>
      <c r="V14" s="17"/>
      <c r="W14" s="17"/>
      <c r="X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6" t="str">
        <f aca="false">IF(K15="","",IF(AND(K15&lt;=45,OR(J15="Já existe verba aprovada para esse tema",J15="Entra no orçamento do próximo ciclo")),"Alta",IF(OR(K15&lt;=45,J15="Já existe verba aprovada para esse tema"),"Média","Baixa")))</f>
        <v/>
      </c>
      <c r="S15" s="17"/>
      <c r="T15" s="17"/>
      <c r="U15" s="17"/>
      <c r="V15" s="17"/>
      <c r="W15" s="17"/>
      <c r="X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6" t="str">
        <f aca="false">IF(K16="","",IF(AND(K16&lt;=45,OR(J16="Já existe verba aprovada para esse tema",J16="Entra no orçamento do próximo ciclo")),"Alta",IF(OR(K16&lt;=45,J16="Já existe verba aprovada para esse tema"),"Média","Baixa")))</f>
        <v/>
      </c>
      <c r="S16" s="17"/>
      <c r="T16" s="17"/>
      <c r="U16" s="17"/>
      <c r="V16" s="17"/>
      <c r="W16" s="17"/>
      <c r="X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6" t="str">
        <f aca="false">IF(K17="","",IF(AND(K17&lt;=45,OR(J17="Já existe verba aprovada para esse tema",J17="Entra no orçamento do próximo ciclo")),"Alta",IF(OR(K17&lt;=45,J17="Já existe verba aprovada para esse tema"),"Média","Baixa")))</f>
        <v/>
      </c>
      <c r="S17" s="17"/>
      <c r="T17" s="17"/>
      <c r="U17" s="17"/>
      <c r="V17" s="17"/>
      <c r="W17" s="17"/>
      <c r="X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 t="str">
        <f aca="false">IF(K18="","",IF(AND(K18&lt;=45,OR(J18="Já existe verba aprovada para esse tema",J18="Entra no orçamento do próximo ciclo")),"Alta",IF(OR(K18&lt;=45,J18="Já existe verba aprovada para esse tema"),"Média","Baixa")))</f>
        <v/>
      </c>
      <c r="S18" s="17"/>
      <c r="T18" s="17"/>
      <c r="U18" s="17"/>
      <c r="V18" s="17"/>
      <c r="W18" s="17"/>
      <c r="X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6" t="str">
        <f aca="false">IF(K19="","",IF(AND(K19&lt;=45,OR(J19="Já existe verba aprovada para esse tema",J19="Entra no orçamento do próximo ciclo")),"Alta",IF(OR(K19&lt;=45,J19="Já existe verba aprovada para esse tema"),"Média","Baixa")))</f>
        <v/>
      </c>
      <c r="S19" s="17"/>
      <c r="T19" s="17"/>
      <c r="U19" s="17"/>
      <c r="V19" s="17"/>
      <c r="W19" s="17"/>
      <c r="X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6" t="str">
        <f aca="false">IF(K20="","",IF(AND(K20&lt;=45,OR(J20="Já existe verba aprovada para esse tema",J20="Entra no orçamento do próximo ciclo")),"Alta",IF(OR(K20&lt;=45,J20="Já existe verba aprovada para esse tema"),"Média","Baixa")))</f>
        <v/>
      </c>
      <c r="S20" s="17"/>
      <c r="T20" s="17"/>
      <c r="U20" s="17"/>
      <c r="V20" s="17"/>
      <c r="W20" s="17"/>
      <c r="X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 t="str">
        <f aca="false">IF(K21="","",IF(AND(K21&lt;=45,OR(J21="Já existe verba aprovada para esse tema",J21="Entra no orçamento do próximo ciclo")),"Alta",IF(OR(K21&lt;=45,J21="Já existe verba aprovada para esse tema"),"Média","Baixa")))</f>
        <v/>
      </c>
      <c r="S21" s="17"/>
      <c r="T21" s="17"/>
      <c r="U21" s="17"/>
      <c r="V21" s="17"/>
      <c r="W21" s="17"/>
      <c r="X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 t="str">
        <f aca="false">IF(K22="","",IF(AND(K22&lt;=45,OR(J22="Já existe verba aprovada para esse tema",J22="Entra no orçamento do próximo ciclo")),"Alta",IF(OR(K22&lt;=45,J22="Já existe verba aprovada para esse tema"),"Média","Baixa")))</f>
        <v/>
      </c>
      <c r="S22" s="17"/>
      <c r="T22" s="17"/>
      <c r="U22" s="17"/>
      <c r="V22" s="17"/>
      <c r="W22" s="17"/>
      <c r="X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 t="str">
        <f aca="false">IF(K23="","",IF(AND(K23&lt;=45,OR(J23="Já existe verba aprovada para esse tema",J23="Entra no orçamento do próximo ciclo")),"Alta",IF(OR(K23&lt;=45,J23="Já existe verba aprovada para esse tema"),"Média","Baixa")))</f>
        <v/>
      </c>
      <c r="S23" s="17"/>
      <c r="T23" s="17"/>
      <c r="U23" s="17"/>
      <c r="V23" s="17"/>
      <c r="W23" s="17"/>
      <c r="X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 t="str">
        <f aca="false">IF(K24="","",IF(AND(K24&lt;=45,OR(J24="Já existe verba aprovada para esse tema",J24="Entra no orçamento do próximo ciclo")),"Alta",IF(OR(K24&lt;=45,J24="Já existe verba aprovada para esse tema"),"Média","Baixa")))</f>
        <v/>
      </c>
      <c r="S24" s="17"/>
      <c r="T24" s="17"/>
      <c r="U24" s="17"/>
      <c r="V24" s="17"/>
      <c r="W24" s="17"/>
      <c r="X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 t="str">
        <f aca="false">IF(K25="","",IF(AND(K25&lt;=45,OR(J25="Já existe verba aprovada para esse tema",J25="Entra no orçamento do próximo ciclo")),"Alta",IF(OR(K25&lt;=45,J25="Já existe verba aprovada para esse tema"),"Média","Baixa")))</f>
        <v/>
      </c>
      <c r="S25" s="17"/>
      <c r="T25" s="17"/>
      <c r="U25" s="17"/>
      <c r="V25" s="17"/>
      <c r="W25" s="17"/>
      <c r="X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 t="str">
        <f aca="false">IF(K26="","",IF(AND(K26&lt;=45,OR(J26="Já existe verba aprovada para esse tema",J26="Entra no orçamento do próximo ciclo")),"Alta",IF(OR(K26&lt;=45,J26="Já existe verba aprovada para esse tema"),"Média","Baixa")))</f>
        <v/>
      </c>
      <c r="S26" s="17"/>
      <c r="T26" s="17"/>
      <c r="U26" s="17"/>
      <c r="V26" s="17"/>
      <c r="W26" s="17"/>
      <c r="X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 t="str">
        <f aca="false">IF(K27="","",IF(AND(K27&lt;=45,OR(J27="Já existe verba aprovada para esse tema",J27="Entra no orçamento do próximo ciclo")),"Alta",IF(OR(K27&lt;=45,J27="Já existe verba aprovada para esse tema"),"Média","Baixa")))</f>
        <v/>
      </c>
      <c r="S27" s="17"/>
      <c r="T27" s="17"/>
      <c r="U27" s="17"/>
      <c r="V27" s="17"/>
      <c r="W27" s="17"/>
      <c r="X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 t="str">
        <f aca="false">IF(K28="","",IF(AND(K28&lt;=45,OR(J28="Já existe verba aprovada para esse tema",J28="Entra no orçamento do próximo ciclo")),"Alta",IF(OR(K28&lt;=45,J28="Já existe verba aprovada para esse tema"),"Média","Baixa")))</f>
        <v/>
      </c>
      <c r="S28" s="17"/>
      <c r="T28" s="17"/>
      <c r="U28" s="17"/>
      <c r="V28" s="17"/>
      <c r="W28" s="17"/>
      <c r="X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 t="str">
        <f aca="false">IF(K29="","",IF(AND(K29&lt;=45,OR(J29="Já existe verba aprovada para esse tema",J29="Entra no orçamento do próximo ciclo")),"Alta",IF(OR(K29&lt;=45,J29="Já existe verba aprovada para esse tema"),"Média","Baixa")))</f>
        <v/>
      </c>
      <c r="S29" s="17"/>
      <c r="T29" s="17"/>
      <c r="U29" s="17"/>
      <c r="V29" s="17"/>
      <c r="W29" s="17"/>
      <c r="X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 t="str">
        <f aca="false">IF(K30="","",IF(AND(K30&lt;=45,OR(J30="Já existe verba aprovada para esse tema",J30="Entra no orçamento do próximo ciclo")),"Alta",IF(OR(K30&lt;=45,J30="Já existe verba aprovada para esse tema"),"Média","Baixa")))</f>
        <v/>
      </c>
      <c r="S30" s="17"/>
      <c r="T30" s="17"/>
      <c r="U30" s="17"/>
      <c r="V30" s="17"/>
      <c r="W30" s="17"/>
      <c r="X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 t="str">
        <f aca="false">IF(K31="","",IF(AND(K31&lt;=45,OR(J31="Já existe verba aprovada para esse tema",J31="Entra no orçamento do próximo ciclo")),"Alta",IF(OR(K31&lt;=45,J31="Já existe verba aprovada para esse tema"),"Média","Baixa")))</f>
        <v/>
      </c>
      <c r="S31" s="17"/>
      <c r="T31" s="17"/>
      <c r="U31" s="17"/>
      <c r="V31" s="17"/>
      <c r="W31" s="17"/>
      <c r="X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 t="str">
        <f aca="false">IF(K32="","",IF(AND(K32&lt;=45,OR(J32="Já existe verba aprovada para esse tema",J32="Entra no orçamento do próximo ciclo")),"Alta",IF(OR(K32&lt;=45,J32="Já existe verba aprovada para esse tema"),"Média","Baixa")))</f>
        <v/>
      </c>
      <c r="S32" s="17"/>
      <c r="T32" s="17"/>
      <c r="U32" s="17"/>
      <c r="V32" s="17"/>
      <c r="W32" s="17"/>
      <c r="X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 t="str">
        <f aca="false">IF(K33="","",IF(AND(K33&lt;=45,OR(J33="Já existe verba aprovada para esse tema",J33="Entra no orçamento do próximo ciclo")),"Alta",IF(OR(K33&lt;=45,J33="Já existe verba aprovada para esse tema"),"Média","Baixa")))</f>
        <v/>
      </c>
      <c r="S33" s="17"/>
      <c r="T33" s="17"/>
      <c r="U33" s="17"/>
      <c r="V33" s="17"/>
      <c r="W33" s="17"/>
      <c r="X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 t="str">
        <f aca="false">IF(K34="","",IF(AND(K34&lt;=45,OR(J34="Já existe verba aprovada para esse tema",J34="Entra no orçamento do próximo ciclo")),"Alta",IF(OR(K34&lt;=45,J34="Já existe verba aprovada para esse tema"),"Média","Baixa")))</f>
        <v/>
      </c>
      <c r="S34" s="17"/>
      <c r="T34" s="17"/>
      <c r="U34" s="17"/>
      <c r="V34" s="17"/>
      <c r="W34" s="17"/>
      <c r="X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 t="str">
        <f aca="false">IF(K35="","",IF(AND(K35&lt;=45,OR(J35="Já existe verba aprovada para esse tema",J35="Entra no orçamento do próximo ciclo")),"Alta",IF(OR(K35&lt;=45,J35="Já existe verba aprovada para esse tema"),"Média","Baixa")))</f>
        <v/>
      </c>
      <c r="S35" s="17"/>
      <c r="T35" s="17"/>
      <c r="U35" s="17"/>
      <c r="V35" s="17"/>
      <c r="W35" s="17"/>
      <c r="X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 t="str">
        <f aca="false">IF(K36="","",IF(AND(K36&lt;=45,OR(J36="Já existe verba aprovada para esse tema",J36="Entra no orçamento do próximo ciclo")),"Alta",IF(OR(K36&lt;=45,J36="Já existe verba aprovada para esse tema"),"Média","Baixa")))</f>
        <v/>
      </c>
      <c r="S36" s="17"/>
      <c r="T36" s="17"/>
      <c r="U36" s="17"/>
      <c r="V36" s="17"/>
      <c r="W36" s="17"/>
      <c r="X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6" t="str">
        <f aca="false">IF(K37="","",IF(AND(K37&lt;=45,OR(J37="Já existe verba aprovada para esse tema",J37="Entra no orçamento do próximo ciclo")),"Alta",IF(OR(K37&lt;=45,J37="Já existe verba aprovada para esse tema"),"Média","Baixa")))</f>
        <v/>
      </c>
      <c r="S37" s="17"/>
      <c r="T37" s="17"/>
      <c r="U37" s="17"/>
      <c r="V37" s="17"/>
      <c r="W37" s="17"/>
      <c r="X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6" t="str">
        <f aca="false">IF(K38="","",IF(AND(K38&lt;=45,OR(J38="Já existe verba aprovada para esse tema",J38="Entra no orçamento do próximo ciclo")),"Alta",IF(OR(K38&lt;=45,J38="Já existe verba aprovada para esse tema"),"Média","Baixa")))</f>
        <v/>
      </c>
      <c r="S38" s="17"/>
      <c r="T38" s="17"/>
      <c r="U38" s="17"/>
      <c r="V38" s="17"/>
      <c r="W38" s="17"/>
      <c r="X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6" t="str">
        <f aca="false">IF(K39="","",IF(AND(K39&lt;=45,OR(J39="Já existe verba aprovada para esse tema",J39="Entra no orçamento do próximo ciclo")),"Alta",IF(OR(K39&lt;=45,J39="Já existe verba aprovada para esse tema"),"Média","Baixa")))</f>
        <v/>
      </c>
      <c r="S39" s="17"/>
      <c r="T39" s="17"/>
      <c r="U39" s="17"/>
      <c r="V39" s="17"/>
      <c r="W39" s="17"/>
      <c r="X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6" t="str">
        <f aca="false">IF(K40="","",IF(AND(K40&lt;=45,OR(J40="Já existe verba aprovada para esse tema",J40="Entra no orçamento do próximo ciclo")),"Alta",IF(OR(K40&lt;=45,J40="Já existe verba aprovada para esse tema"),"Média","Baixa")))</f>
        <v/>
      </c>
      <c r="S40" s="17"/>
      <c r="T40" s="17"/>
      <c r="U40" s="17"/>
      <c r="V40" s="17"/>
      <c r="W40" s="17"/>
      <c r="X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6" t="str">
        <f aca="false">IF(K41="","",IF(AND(K41&lt;=45,OR(J41="Já existe verba aprovada para esse tema",J41="Entra no orçamento do próximo ciclo")),"Alta",IF(OR(K41&lt;=45,J41="Já existe verba aprovada para esse tema"),"Média","Baixa")))</f>
        <v/>
      </c>
      <c r="S41" s="17"/>
      <c r="T41" s="17"/>
      <c r="U41" s="17"/>
      <c r="V41" s="17"/>
      <c r="W41" s="17"/>
      <c r="X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 t="str">
        <f aca="false">IF(K42="","",IF(AND(K42&lt;=45,OR(J42="Já existe verba aprovada para esse tema",J42="Entra no orçamento do próximo ciclo")),"Alta",IF(OR(K42&lt;=45,J42="Já existe verba aprovada para esse tema"),"Média","Baixa")))</f>
        <v/>
      </c>
      <c r="S42" s="17"/>
      <c r="T42" s="17"/>
      <c r="U42" s="17"/>
      <c r="V42" s="17"/>
      <c r="W42" s="17"/>
      <c r="X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 t="str">
        <f aca="false">IF(K43="","",IF(AND(K43&lt;=45,OR(J43="Já existe verba aprovada para esse tema",J43="Entra no orçamento do próximo ciclo")),"Alta",IF(OR(K43&lt;=45,J43="Já existe verba aprovada para esse tema"),"Média","Baixa")))</f>
        <v/>
      </c>
      <c r="S43" s="17"/>
      <c r="T43" s="17"/>
      <c r="U43" s="17"/>
      <c r="V43" s="17"/>
      <c r="W43" s="17"/>
      <c r="X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6" t="str">
        <f aca="false">IF(K44="","",IF(AND(K44&lt;=45,OR(J44="Já existe verba aprovada para esse tema",J44="Entra no orçamento do próximo ciclo")),"Alta",IF(OR(K44&lt;=45,J44="Já existe verba aprovada para esse tema"),"Média","Baixa")))</f>
        <v/>
      </c>
      <c r="S44" s="17"/>
      <c r="T44" s="17"/>
      <c r="U44" s="17"/>
      <c r="V44" s="17"/>
      <c r="W44" s="17"/>
      <c r="X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6" t="str">
        <f aca="false">IF(K45="","",IF(AND(K45&lt;=45,OR(J45="Já existe verba aprovada para esse tema",J45="Entra no orçamento do próximo ciclo")),"Alta",IF(OR(K45&lt;=45,J45="Já existe verba aprovada para esse tema"),"Média","Baixa")))</f>
        <v/>
      </c>
      <c r="S45" s="17"/>
      <c r="T45" s="17"/>
      <c r="U45" s="17"/>
      <c r="V45" s="17"/>
      <c r="W45" s="17"/>
      <c r="X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6" t="str">
        <f aca="false">IF(K46="","",IF(AND(K46&lt;=45,OR(J46="Já existe verba aprovada para esse tema",J46="Entra no orçamento do próximo ciclo")),"Alta",IF(OR(K46&lt;=45,J46="Já existe verba aprovada para esse tema"),"Média","Baixa")))</f>
        <v/>
      </c>
      <c r="S46" s="17"/>
      <c r="T46" s="17"/>
      <c r="U46" s="17"/>
      <c r="V46" s="17"/>
      <c r="W46" s="17"/>
      <c r="X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" t="str">
        <f aca="false">IF(K47="","",IF(AND(K47&lt;=45,OR(J47="Já existe verba aprovada para esse tema",J47="Entra no orçamento do próximo ciclo")),"Alta",IF(OR(K47&lt;=45,J47="Já existe verba aprovada para esse tema"),"Média","Baixa")))</f>
        <v/>
      </c>
      <c r="S47" s="17"/>
      <c r="T47" s="17"/>
      <c r="U47" s="17"/>
      <c r="V47" s="17"/>
      <c r="W47" s="17"/>
      <c r="X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6" t="str">
        <f aca="false">IF(K48="","",IF(AND(K48&lt;=45,OR(J48="Já existe verba aprovada para esse tema",J48="Entra no orçamento do próximo ciclo")),"Alta",IF(OR(K48&lt;=45,J48="Já existe verba aprovada para esse tema"),"Média","Baixa")))</f>
        <v/>
      </c>
      <c r="S48" s="17"/>
      <c r="T48" s="17"/>
      <c r="U48" s="17"/>
      <c r="V48" s="17"/>
      <c r="W48" s="17"/>
      <c r="X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6" t="str">
        <f aca="false">IF(K49="","",IF(AND(K49&lt;=45,OR(J49="Já existe verba aprovada para esse tema",J49="Entra no orçamento do próximo ciclo")),"Alta",IF(OR(K49&lt;=45,J49="Já existe verba aprovada para esse tema"),"Média","Baixa")))</f>
        <v/>
      </c>
      <c r="S49" s="17"/>
      <c r="T49" s="17"/>
      <c r="U49" s="17"/>
      <c r="V49" s="17"/>
      <c r="W49" s="17"/>
      <c r="X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6" t="str">
        <f aca="false">IF(K50="","",IF(AND(K50&lt;=45,OR(J50="Já existe verba aprovada para esse tema",J50="Entra no orçamento do próximo ciclo")),"Alta",IF(OR(K50&lt;=45,J50="Já existe verba aprovada para esse tema"),"Média","Baixa")))</f>
        <v/>
      </c>
      <c r="S50" s="17"/>
      <c r="T50" s="17"/>
      <c r="U50" s="17"/>
      <c r="V50" s="17"/>
      <c r="W50" s="17"/>
      <c r="X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6" t="str">
        <f aca="false">IF(K51="","",IF(AND(K51&lt;=45,OR(J51="Já existe verba aprovada para esse tema",J51="Entra no orçamento do próximo ciclo")),"Alta",IF(OR(K51&lt;=45,J51="Já existe verba aprovada para esse tema"),"Média","Baixa")))</f>
        <v/>
      </c>
      <c r="S51" s="17"/>
      <c r="T51" s="17"/>
      <c r="U51" s="17"/>
      <c r="V51" s="17"/>
      <c r="W51" s="17"/>
      <c r="X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6" t="str">
        <f aca="false">IF(K52="","",IF(AND(K52&lt;=45,OR(J52="Já existe verba aprovada para esse tema",J52="Entra no orçamento do próximo ciclo")),"Alta",IF(OR(K52&lt;=45,J52="Já existe verba aprovada para esse tema"),"Média","Baixa")))</f>
        <v/>
      </c>
      <c r="S52" s="17"/>
      <c r="T52" s="17"/>
      <c r="U52" s="17"/>
      <c r="V52" s="17"/>
      <c r="W52" s="17"/>
      <c r="X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6" t="str">
        <f aca="false">IF(K53="","",IF(AND(K53&lt;=45,OR(J53="Já existe verba aprovada para esse tema",J53="Entra no orçamento do próximo ciclo")),"Alta",IF(OR(K53&lt;=45,J53="Já existe verba aprovada para esse tema"),"Média","Baixa")))</f>
        <v/>
      </c>
      <c r="S53" s="17"/>
      <c r="T53" s="17"/>
      <c r="U53" s="17"/>
      <c r="V53" s="17"/>
      <c r="W53" s="17"/>
      <c r="X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6" t="str">
        <f aca="false">IF(K54="","",IF(AND(K54&lt;=45,OR(J54="Já existe verba aprovada para esse tema",J54="Entra no orçamento do próximo ciclo")),"Alta",IF(OR(K54&lt;=45,J54="Já existe verba aprovada para esse tema"),"Média","Baixa")))</f>
        <v/>
      </c>
      <c r="S54" s="17"/>
      <c r="T54" s="17"/>
      <c r="U54" s="17"/>
      <c r="V54" s="17"/>
      <c r="W54" s="17"/>
      <c r="X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6" t="str">
        <f aca="false">IF(K55="","",IF(AND(K55&lt;=45,OR(J55="Já existe verba aprovada para esse tema",J55="Entra no orçamento do próximo ciclo")),"Alta",IF(OR(K55&lt;=45,J55="Já existe verba aprovada para esse tema"),"Média","Baixa")))</f>
        <v/>
      </c>
      <c r="S55" s="17"/>
      <c r="T55" s="17"/>
      <c r="U55" s="17"/>
      <c r="V55" s="17"/>
      <c r="W55" s="17"/>
      <c r="X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6" t="str">
        <f aca="false">IF(K56="","",IF(AND(K56&lt;=45,OR(J56="Já existe verba aprovada para esse tema",J56="Entra no orçamento do próximo ciclo")),"Alta",IF(OR(K56&lt;=45,J56="Já existe verba aprovada para esse tema"),"Média","Baixa")))</f>
        <v/>
      </c>
      <c r="S56" s="17"/>
      <c r="T56" s="17"/>
      <c r="U56" s="17"/>
      <c r="V56" s="17"/>
      <c r="W56" s="17"/>
      <c r="X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6" t="str">
        <f aca="false">IF(K57="","",IF(AND(K57&lt;=45,OR(J57="Já existe verba aprovada para esse tema",J57="Entra no orçamento do próximo ciclo")),"Alta",IF(OR(K57&lt;=45,J57="Já existe verba aprovada para esse tema"),"Média","Baixa")))</f>
        <v/>
      </c>
      <c r="S57" s="17"/>
      <c r="T57" s="17"/>
      <c r="U57" s="17"/>
      <c r="V57" s="17"/>
      <c r="W57" s="17"/>
      <c r="X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6" t="str">
        <f aca="false">IF(K58="","",IF(AND(K58&lt;=45,OR(J58="Já existe verba aprovada para esse tema",J58="Entra no orçamento do próximo ciclo")),"Alta",IF(OR(K58&lt;=45,J58="Já existe verba aprovada para esse tema"),"Média","Baixa")))</f>
        <v/>
      </c>
      <c r="S58" s="17"/>
      <c r="T58" s="17"/>
      <c r="U58" s="17"/>
      <c r="V58" s="17"/>
      <c r="W58" s="17"/>
      <c r="X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6" t="str">
        <f aca="false">IF(K59="","",IF(AND(K59&lt;=45,OR(J59="Já existe verba aprovada para esse tema",J59="Entra no orçamento do próximo ciclo")),"Alta",IF(OR(K59&lt;=45,J59="Já existe verba aprovada para esse tema"),"Média","Baixa")))</f>
        <v/>
      </c>
      <c r="S59" s="17"/>
      <c r="T59" s="17"/>
      <c r="U59" s="17"/>
      <c r="V59" s="17"/>
      <c r="W59" s="17"/>
      <c r="X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6" t="str">
        <f aca="false">IF(K60="","",IF(AND(K60&lt;=45,OR(J60="Já existe verba aprovada para esse tema",J60="Entra no orçamento do próximo ciclo")),"Alta",IF(OR(K60&lt;=45,J60="Já existe verba aprovada para esse tema"),"Média","Baixa")))</f>
        <v/>
      </c>
      <c r="S60" s="17"/>
      <c r="T60" s="17"/>
      <c r="U60" s="17"/>
      <c r="V60" s="17"/>
      <c r="W60" s="17"/>
      <c r="X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6" t="str">
        <f aca="false">IF(K61="","",IF(AND(K61&lt;=45,OR(J61="Já existe verba aprovada para esse tema",J61="Entra no orçamento do próximo ciclo")),"Alta",IF(OR(K61&lt;=45,J61="Já existe verba aprovada para esse tema"),"Média","Baixa")))</f>
        <v/>
      </c>
      <c r="S61" s="17"/>
      <c r="T61" s="17"/>
      <c r="U61" s="17"/>
      <c r="V61" s="17"/>
      <c r="W61" s="17"/>
      <c r="X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6" t="str">
        <f aca="false">IF(K62="","",IF(AND(K62&lt;=45,OR(J62="Já existe verba aprovada para esse tema",J62="Entra no orçamento do próximo ciclo")),"Alta",IF(OR(K62&lt;=45,J62="Já existe verba aprovada para esse tema"),"Média","Baixa")))</f>
        <v/>
      </c>
      <c r="S62" s="17"/>
      <c r="T62" s="17"/>
      <c r="U62" s="17"/>
      <c r="V62" s="17"/>
      <c r="W62" s="17"/>
      <c r="X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6" t="str">
        <f aca="false">IF(K63="","",IF(AND(K63&lt;=45,OR(J63="Já existe verba aprovada para esse tema",J63="Entra no orçamento do próximo ciclo")),"Alta",IF(OR(K63&lt;=45,J63="Já existe verba aprovada para esse tema"),"Média","Baixa")))</f>
        <v/>
      </c>
      <c r="S63" s="17"/>
      <c r="T63" s="17"/>
      <c r="U63" s="17"/>
      <c r="V63" s="17"/>
      <c r="W63" s="17"/>
      <c r="X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6" t="str">
        <f aca="false">IF(K64="","",IF(AND(K64&lt;=45,OR(J64="Já existe verba aprovada para esse tema",J64="Entra no orçamento do próximo ciclo")),"Alta",IF(OR(K64&lt;=45,J64="Já existe verba aprovada para esse tema"),"Média","Baixa")))</f>
        <v/>
      </c>
      <c r="S64" s="17"/>
      <c r="T64" s="17"/>
      <c r="U64" s="17"/>
      <c r="V64" s="17"/>
      <c r="W64" s="17"/>
      <c r="X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6" t="str">
        <f aca="false">IF(K65="","",IF(AND(K65&lt;=45,OR(J65="Já existe verba aprovada para esse tema",J65="Entra no orçamento do próximo ciclo")),"Alta",IF(OR(K65&lt;=45,J65="Já existe verba aprovada para esse tema"),"Média","Baixa")))</f>
        <v/>
      </c>
      <c r="S65" s="17"/>
      <c r="T65" s="17"/>
      <c r="U65" s="17"/>
      <c r="V65" s="17"/>
      <c r="W65" s="17"/>
      <c r="X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6" t="str">
        <f aca="false">IF(K66="","",IF(AND(K66&lt;=45,OR(J66="Já existe verba aprovada para esse tema",J66="Entra no orçamento do próximo ciclo")),"Alta",IF(OR(K66&lt;=45,J66="Já existe verba aprovada para esse tema"),"Média","Baixa")))</f>
        <v/>
      </c>
      <c r="S66" s="17"/>
      <c r="T66" s="17"/>
      <c r="U66" s="17"/>
      <c r="V66" s="17"/>
      <c r="W66" s="17"/>
      <c r="X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6" t="str">
        <f aca="false">IF(K67="","",IF(AND(K67&lt;=45,OR(J67="Já existe verba aprovada para esse tema",J67="Entra no orçamento do próximo ciclo")),"Alta",IF(OR(K67&lt;=45,J67="Já existe verba aprovada para esse tema"),"Média","Baixa")))</f>
        <v/>
      </c>
      <c r="S67" s="17"/>
      <c r="T67" s="17"/>
      <c r="U67" s="17"/>
      <c r="V67" s="17"/>
      <c r="W67" s="17"/>
      <c r="X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6" t="str">
        <f aca="false">IF(K68="","",IF(AND(K68&lt;=45,OR(J68="Já existe verba aprovada para esse tema",J68="Entra no orçamento do próximo ciclo")),"Alta",IF(OR(K68&lt;=45,J68="Já existe verba aprovada para esse tema"),"Média","Baixa")))</f>
        <v/>
      </c>
      <c r="S68" s="17"/>
      <c r="T68" s="17"/>
      <c r="U68" s="17"/>
      <c r="V68" s="17"/>
      <c r="W68" s="17"/>
      <c r="X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6" t="str">
        <f aca="false">IF(K69="","",IF(AND(K69&lt;=45,OR(J69="Já existe verba aprovada para esse tema",J69="Entra no orçamento do próximo ciclo")),"Alta",IF(OR(K69&lt;=45,J69="Já existe verba aprovada para esse tema"),"Média","Baixa")))</f>
        <v/>
      </c>
      <c r="S69" s="17"/>
      <c r="T69" s="17"/>
      <c r="U69" s="17"/>
      <c r="V69" s="17"/>
      <c r="W69" s="17"/>
      <c r="X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6" t="str">
        <f aca="false">IF(K70="","",IF(AND(K70&lt;=45,OR(J70="Já existe verba aprovada para esse tema",J70="Entra no orçamento do próximo ciclo")),"Alta",IF(OR(K70&lt;=45,J70="Já existe verba aprovada para esse tema"),"Média","Baixa")))</f>
        <v/>
      </c>
      <c r="S70" s="17"/>
      <c r="T70" s="17"/>
      <c r="U70" s="17"/>
      <c r="V70" s="17"/>
      <c r="W70" s="17"/>
      <c r="X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6" t="str">
        <f aca="false">IF(K71="","",IF(AND(K71&lt;=45,OR(J71="Já existe verba aprovada para esse tema",J71="Entra no orçamento do próximo ciclo")),"Alta",IF(OR(K71&lt;=45,J71="Já existe verba aprovada para esse tema"),"Média","Baixa")))</f>
        <v/>
      </c>
      <c r="S71" s="17"/>
      <c r="T71" s="17"/>
      <c r="U71" s="17"/>
      <c r="V71" s="17"/>
      <c r="W71" s="17"/>
      <c r="X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6" t="str">
        <f aca="false">IF(K72="","",IF(AND(K72&lt;=45,OR(J72="Já existe verba aprovada para esse tema",J72="Entra no orçamento do próximo ciclo")),"Alta",IF(OR(K72&lt;=45,J72="Já existe verba aprovada para esse tema"),"Média","Baixa")))</f>
        <v/>
      </c>
      <c r="S72" s="17"/>
      <c r="T72" s="17"/>
      <c r="U72" s="17"/>
      <c r="V72" s="17"/>
      <c r="W72" s="17"/>
      <c r="X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6" t="str">
        <f aca="false">IF(K73="","",IF(AND(K73&lt;=45,OR(J73="Já existe verba aprovada para esse tema",J73="Entra no orçamento do próximo ciclo")),"Alta",IF(OR(K73&lt;=45,J73="Já existe verba aprovada para esse tema"),"Média","Baixa")))</f>
        <v/>
      </c>
      <c r="S73" s="17"/>
      <c r="T73" s="17"/>
      <c r="U73" s="17"/>
      <c r="V73" s="17"/>
      <c r="W73" s="17"/>
      <c r="X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6" t="str">
        <f aca="false">IF(K74="","",IF(AND(K74&lt;=45,OR(J74="Já existe verba aprovada para esse tema",J74="Entra no orçamento do próximo ciclo")),"Alta",IF(OR(K74&lt;=45,J74="Já existe verba aprovada para esse tema"),"Média","Baixa")))</f>
        <v/>
      </c>
      <c r="S74" s="17"/>
      <c r="T74" s="17"/>
      <c r="U74" s="17"/>
      <c r="V74" s="17"/>
      <c r="W74" s="17"/>
      <c r="X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6" t="str">
        <f aca="false">IF(K75="","",IF(AND(K75&lt;=45,OR(J75="Já existe verba aprovada para esse tema",J75="Entra no orçamento do próximo ciclo")),"Alta",IF(OR(K75&lt;=45,J75="Já existe verba aprovada para esse tema"),"Média","Baixa")))</f>
        <v/>
      </c>
      <c r="S75" s="17"/>
      <c r="T75" s="17"/>
      <c r="U75" s="17"/>
      <c r="V75" s="17"/>
      <c r="W75" s="17"/>
      <c r="X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6" t="str">
        <f aca="false">IF(K76="","",IF(AND(K76&lt;=45,OR(J76="Já existe verba aprovada para esse tema",J76="Entra no orçamento do próximo ciclo")),"Alta",IF(OR(K76&lt;=45,J76="Já existe verba aprovada para esse tema"),"Média","Baixa")))</f>
        <v/>
      </c>
      <c r="S76" s="17"/>
      <c r="T76" s="17"/>
      <c r="U76" s="17"/>
      <c r="V76" s="17"/>
      <c r="W76" s="17"/>
      <c r="X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6" t="str">
        <f aca="false">IF(K77="","",IF(AND(K77&lt;=45,OR(J77="Já existe verba aprovada para esse tema",J77="Entra no orçamento do próximo ciclo")),"Alta",IF(OR(K77&lt;=45,J77="Já existe verba aprovada para esse tema"),"Média","Baixa")))</f>
        <v/>
      </c>
      <c r="S77" s="17"/>
      <c r="T77" s="17"/>
      <c r="U77" s="17"/>
      <c r="V77" s="17"/>
      <c r="W77" s="17"/>
      <c r="X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6" t="str">
        <f aca="false">IF(K78="","",IF(AND(K78&lt;=45,OR(J78="Já existe verba aprovada para esse tema",J78="Entra no orçamento do próximo ciclo")),"Alta",IF(OR(K78&lt;=45,J78="Já existe verba aprovada para esse tema"),"Média","Baixa")))</f>
        <v/>
      </c>
      <c r="S78" s="17"/>
      <c r="T78" s="17"/>
      <c r="U78" s="17"/>
      <c r="V78" s="17"/>
      <c r="W78" s="17"/>
      <c r="X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6" t="str">
        <f aca="false">IF(K79="","",IF(AND(K79&lt;=45,OR(J79="Já existe verba aprovada para esse tema",J79="Entra no orçamento do próximo ciclo")),"Alta",IF(OR(K79&lt;=45,J79="Já existe verba aprovada para esse tema"),"Média","Baixa")))</f>
        <v/>
      </c>
      <c r="S79" s="17"/>
      <c r="T79" s="17"/>
      <c r="U79" s="17"/>
      <c r="V79" s="17"/>
      <c r="W79" s="17"/>
      <c r="X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6" t="str">
        <f aca="false">IF(K80="","",IF(AND(K80&lt;=45,OR(J80="Já existe verba aprovada para esse tema",J80="Entra no orçamento do próximo ciclo")),"Alta",IF(OR(K80&lt;=45,J80="Já existe verba aprovada para esse tema"),"Média","Baixa")))</f>
        <v/>
      </c>
      <c r="S80" s="17"/>
      <c r="T80" s="17"/>
      <c r="U80" s="17"/>
      <c r="V80" s="17"/>
      <c r="W80" s="17"/>
      <c r="X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6" t="str">
        <f aca="false">IF(K81="","",IF(AND(K81&lt;=45,OR(J81="Já existe verba aprovada para esse tema",J81="Entra no orçamento do próximo ciclo")),"Alta",IF(OR(K81&lt;=45,J81="Já existe verba aprovada para esse tema"),"Média","Baixa")))</f>
        <v/>
      </c>
      <c r="S81" s="17"/>
      <c r="T81" s="17"/>
      <c r="U81" s="17"/>
      <c r="V81" s="17"/>
      <c r="W81" s="17"/>
      <c r="X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6" t="str">
        <f aca="false">IF(K82="","",IF(AND(K82&lt;=45,OR(J82="Já existe verba aprovada para esse tema",J82="Entra no orçamento do próximo ciclo")),"Alta",IF(OR(K82&lt;=45,J82="Já existe verba aprovada para esse tema"),"Média","Baixa")))</f>
        <v/>
      </c>
      <c r="S82" s="17"/>
      <c r="T82" s="17"/>
      <c r="U82" s="17"/>
      <c r="V82" s="17"/>
      <c r="W82" s="17"/>
      <c r="X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6" t="str">
        <f aca="false">IF(K83="","",IF(AND(K83&lt;=45,OR(J83="Já existe verba aprovada para esse tema",J83="Entra no orçamento do próximo ciclo")),"Alta",IF(OR(K83&lt;=45,J83="Já existe verba aprovada para esse tema"),"Média","Baixa")))</f>
        <v/>
      </c>
      <c r="S83" s="17"/>
      <c r="T83" s="17"/>
      <c r="U83" s="17"/>
      <c r="V83" s="17"/>
      <c r="W83" s="17"/>
      <c r="X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6" t="str">
        <f aca="false">IF(K84="","",IF(AND(K84&lt;=45,OR(J84="Já existe verba aprovada para esse tema",J84="Entra no orçamento do próximo ciclo")),"Alta",IF(OR(K84&lt;=45,J84="Já existe verba aprovada para esse tema"),"Média","Baixa")))</f>
        <v/>
      </c>
      <c r="S84" s="17"/>
      <c r="T84" s="17"/>
      <c r="U84" s="17"/>
      <c r="V84" s="17"/>
      <c r="W84" s="17"/>
      <c r="X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6" t="str">
        <f aca="false">IF(K85="","",IF(AND(K85&lt;=45,OR(J85="Já existe verba aprovada para esse tema",J85="Entra no orçamento do próximo ciclo")),"Alta",IF(OR(K85&lt;=45,J85="Já existe verba aprovada para esse tema"),"Média","Baixa")))</f>
        <v/>
      </c>
      <c r="S85" s="17"/>
      <c r="T85" s="17"/>
      <c r="U85" s="17"/>
      <c r="V85" s="17"/>
      <c r="W85" s="17"/>
      <c r="X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6" t="str">
        <f aca="false">IF(K86="","",IF(AND(K86&lt;=45,OR(J86="Já existe verba aprovada para esse tema",J86="Entra no orçamento do próximo ciclo")),"Alta",IF(OR(K86&lt;=45,J86="Já existe verba aprovada para esse tema"),"Média","Baixa")))</f>
        <v/>
      </c>
      <c r="S86" s="17"/>
      <c r="T86" s="17"/>
      <c r="U86" s="17"/>
      <c r="V86" s="17"/>
      <c r="W86" s="17"/>
      <c r="X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6" t="str">
        <f aca="false">IF(K87="","",IF(AND(K87&lt;=45,OR(J87="Já existe verba aprovada para esse tema",J87="Entra no orçamento do próximo ciclo")),"Alta",IF(OR(K87&lt;=45,J87="Já existe verba aprovada para esse tema"),"Média","Baixa")))</f>
        <v/>
      </c>
      <c r="S87" s="17"/>
      <c r="T87" s="17"/>
      <c r="U87" s="17"/>
      <c r="V87" s="17"/>
      <c r="W87" s="17"/>
      <c r="X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6" t="str">
        <f aca="false">IF(K88="","",IF(AND(K88&lt;=45,OR(J88="Já existe verba aprovada para esse tema",J88="Entra no orçamento do próximo ciclo")),"Alta",IF(OR(K88&lt;=45,J88="Já existe verba aprovada para esse tema"),"Média","Baixa")))</f>
        <v/>
      </c>
      <c r="S88" s="17"/>
      <c r="T88" s="17"/>
      <c r="U88" s="17"/>
      <c r="V88" s="17"/>
      <c r="W88" s="17"/>
      <c r="X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6" t="str">
        <f aca="false">IF(K89="","",IF(AND(K89&lt;=45,OR(J89="Já existe verba aprovada para esse tema",J89="Entra no orçamento do próximo ciclo")),"Alta",IF(OR(K89&lt;=45,J89="Já existe verba aprovada para esse tema"),"Média","Baixa")))</f>
        <v/>
      </c>
      <c r="S89" s="17"/>
      <c r="T89" s="17"/>
      <c r="U89" s="17"/>
      <c r="V89" s="17"/>
      <c r="W89" s="17"/>
      <c r="X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6" t="str">
        <f aca="false">IF(K90="","",IF(AND(K90&lt;=45,OR(J90="Já existe verba aprovada para esse tema",J90="Entra no orçamento do próximo ciclo")),"Alta",IF(OR(K90&lt;=45,J90="Já existe verba aprovada para esse tema"),"Média","Baixa")))</f>
        <v/>
      </c>
      <c r="S90" s="17"/>
      <c r="T90" s="17"/>
      <c r="U90" s="17"/>
      <c r="V90" s="17"/>
      <c r="W90" s="17"/>
      <c r="X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6" t="str">
        <f aca="false">IF(K91="","",IF(AND(K91&lt;=45,OR(J91="Já existe verba aprovada para esse tema",J91="Entra no orçamento do próximo ciclo")),"Alta",IF(OR(K91&lt;=45,J91="Já existe verba aprovada para esse tema"),"Média","Baixa")))</f>
        <v/>
      </c>
      <c r="S91" s="17"/>
      <c r="T91" s="17"/>
      <c r="U91" s="17"/>
      <c r="V91" s="17"/>
      <c r="W91" s="17"/>
      <c r="X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6" t="str">
        <f aca="false">IF(K92="","",IF(AND(K92&lt;=45,OR(J92="Já existe verba aprovada para esse tema",J92="Entra no orçamento do próximo ciclo")),"Alta",IF(OR(K92&lt;=45,J92="Já existe verba aprovada para esse tema"),"Média","Baixa")))</f>
        <v/>
      </c>
      <c r="S92" s="17"/>
      <c r="T92" s="17"/>
      <c r="U92" s="17"/>
      <c r="V92" s="17"/>
      <c r="W92" s="17"/>
      <c r="X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6" t="str">
        <f aca="false">IF(K93="","",IF(AND(K93&lt;=45,OR(J93="Já existe verba aprovada para esse tema",J93="Entra no orçamento do próximo ciclo")),"Alta",IF(OR(K93&lt;=45,J93="Já existe verba aprovada para esse tema"),"Média","Baixa")))</f>
        <v/>
      </c>
      <c r="S93" s="17"/>
      <c r="T93" s="17"/>
      <c r="U93" s="17"/>
      <c r="V93" s="17"/>
      <c r="W93" s="17"/>
      <c r="X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6" t="str">
        <f aca="false">IF(K94="","",IF(AND(K94&lt;=45,OR(J94="Já existe verba aprovada para esse tema",J94="Entra no orçamento do próximo ciclo")),"Alta",IF(OR(K94&lt;=45,J94="Já existe verba aprovada para esse tema"),"Média","Baixa")))</f>
        <v/>
      </c>
      <c r="S94" s="17"/>
      <c r="T94" s="17"/>
      <c r="U94" s="17"/>
      <c r="V94" s="17"/>
      <c r="W94" s="17"/>
      <c r="X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6" t="str">
        <f aca="false">IF(K95="","",IF(AND(K95&lt;=45,OR(J95="Já existe verba aprovada para esse tema",J95="Entra no orçamento do próximo ciclo")),"Alta",IF(OR(K95&lt;=45,J95="Já existe verba aprovada para esse tema"),"Média","Baixa")))</f>
        <v/>
      </c>
      <c r="S95" s="17"/>
      <c r="T95" s="17"/>
      <c r="U95" s="17"/>
      <c r="V95" s="17"/>
      <c r="W95" s="17"/>
      <c r="X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6" t="str">
        <f aca="false">IF(K96="","",IF(AND(K96&lt;=45,OR(J96="Já existe verba aprovada para esse tema",J96="Entra no orçamento do próximo ciclo")),"Alta",IF(OR(K96&lt;=45,J96="Já existe verba aprovada para esse tema"),"Média","Baixa")))</f>
        <v/>
      </c>
      <c r="S96" s="17"/>
      <c r="T96" s="17"/>
      <c r="U96" s="17"/>
      <c r="V96" s="17"/>
      <c r="W96" s="17"/>
      <c r="X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6" t="str">
        <f aca="false">IF(K97="","",IF(AND(K97&lt;=45,OR(J97="Já existe verba aprovada para esse tema",J97="Entra no orçamento do próximo ciclo")),"Alta",IF(OR(K97&lt;=45,J97="Já existe verba aprovada para esse tema"),"Média","Baixa")))</f>
        <v/>
      </c>
      <c r="S97" s="17"/>
      <c r="T97" s="17"/>
      <c r="U97" s="17"/>
      <c r="V97" s="17"/>
      <c r="W97" s="17"/>
      <c r="X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6" t="str">
        <f aca="false">IF(K98="","",IF(AND(K98&lt;=45,OR(J98="Já existe verba aprovada para esse tema",J98="Entra no orçamento do próximo ciclo")),"Alta",IF(OR(K98&lt;=45,J98="Já existe verba aprovada para esse tema"),"Média","Baixa")))</f>
        <v/>
      </c>
      <c r="S98" s="17"/>
      <c r="T98" s="17"/>
      <c r="U98" s="17"/>
      <c r="V98" s="17"/>
      <c r="W98" s="17"/>
      <c r="X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6" t="str">
        <f aca="false">IF(K99="","",IF(AND(K99&lt;=45,OR(J99="Já existe verba aprovada para esse tema",J99="Entra no orçamento do próximo ciclo")),"Alta",IF(OR(K99&lt;=45,J99="Já existe verba aprovada para esse tema"),"Média","Baixa")))</f>
        <v/>
      </c>
      <c r="S99" s="17"/>
      <c r="T99" s="17"/>
      <c r="U99" s="17"/>
      <c r="V99" s="17"/>
      <c r="W99" s="17"/>
      <c r="X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6" t="str">
        <f aca="false">IF(K100="","",IF(AND(K100&lt;=45,OR(J100="Já existe verba aprovada para esse tema",J100="Entra no orçamento do próximo ciclo")),"Alta",IF(OR(K100&lt;=45,J100="Já existe verba aprovada para esse tema"),"Média","Baixa")))</f>
        <v/>
      </c>
      <c r="S100" s="17"/>
      <c r="T100" s="17"/>
      <c r="U100" s="17"/>
      <c r="V100" s="17"/>
      <c r="W100" s="17"/>
      <c r="X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6" t="str">
        <f aca="false">IF(K101="","",IF(AND(K101&lt;=45,OR(J101="Já existe verba aprovada para esse tema",J101="Entra no orçamento do próximo ciclo")),"Alta",IF(OR(K101&lt;=45,J101="Já existe verba aprovada para esse tema"),"Média","Baixa")))</f>
        <v/>
      </c>
      <c r="S101" s="17"/>
      <c r="T101" s="17"/>
      <c r="U101" s="17"/>
      <c r="V101" s="17"/>
      <c r="W101" s="17"/>
      <c r="X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6" t="str">
        <f aca="false">IF(K102="","",IF(AND(K102&lt;=45,OR(J102="Já existe verba aprovada para esse tema",J102="Entra no orçamento do próximo ciclo")),"Alta",IF(OR(K102&lt;=45,J102="Já existe verba aprovada para esse tema"),"Média","Baixa")))</f>
        <v/>
      </c>
      <c r="S102" s="17"/>
      <c r="T102" s="17"/>
      <c r="U102" s="17"/>
      <c r="V102" s="17"/>
      <c r="W102" s="17"/>
      <c r="X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6" t="str">
        <f aca="false">IF(K103="","",IF(AND(K103&lt;=45,OR(J103="Já existe verba aprovada para esse tema",J103="Entra no orçamento do próximo ciclo")),"Alta",IF(OR(K103&lt;=45,J103="Já existe verba aprovada para esse tema"),"Média","Baixa")))</f>
        <v/>
      </c>
      <c r="S103" s="17"/>
      <c r="T103" s="17"/>
      <c r="U103" s="17"/>
      <c r="V103" s="17"/>
      <c r="W103" s="17"/>
      <c r="X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6" t="str">
        <f aca="false">IF(K104="","",IF(AND(K104&lt;=45,OR(J104="Já existe verba aprovada para esse tema",J104="Entra no orçamento do próximo ciclo")),"Alta",IF(OR(K104&lt;=45,J104="Já existe verba aprovada para esse tema"),"Média","Baixa")))</f>
        <v/>
      </c>
      <c r="S104" s="17"/>
      <c r="T104" s="17"/>
      <c r="U104" s="17"/>
      <c r="V104" s="17"/>
      <c r="W104" s="17"/>
      <c r="X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6" t="str">
        <f aca="false">IF(K105="","",IF(AND(K105&lt;=45,OR(J105="Já existe verba aprovada para esse tema",J105="Entra no orçamento do próximo ciclo")),"Alta",IF(OR(K105&lt;=45,J105="Já existe verba aprovada para esse tema"),"Média","Baixa")))</f>
        <v/>
      </c>
      <c r="S105" s="17"/>
      <c r="T105" s="17"/>
      <c r="U105" s="17"/>
      <c r="V105" s="17"/>
      <c r="W105" s="17"/>
      <c r="X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6" t="str">
        <f aca="false">IF(K106="","",IF(AND(K106&lt;=45,OR(J106="Já existe verba aprovada para esse tema",J106="Entra no orçamento do próximo ciclo")),"Alta",IF(OR(K106&lt;=45,J106="Já existe verba aprovada para esse tema"),"Média","Baixa")))</f>
        <v/>
      </c>
      <c r="S106" s="17"/>
      <c r="T106" s="17"/>
      <c r="U106" s="17"/>
      <c r="V106" s="17"/>
      <c r="W106" s="17"/>
      <c r="X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6" t="str">
        <f aca="false">IF(K107="","",IF(AND(K107&lt;=45,OR(J107="Já existe verba aprovada para esse tema",J107="Entra no orçamento do próximo ciclo")),"Alta",IF(OR(K107&lt;=45,J107="Já existe verba aprovada para esse tema"),"Média","Baixa")))</f>
        <v/>
      </c>
      <c r="S107" s="17"/>
      <c r="T107" s="17"/>
      <c r="U107" s="17"/>
      <c r="V107" s="17"/>
      <c r="W107" s="17"/>
      <c r="X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6" t="str">
        <f aca="false">IF(K108="","",IF(AND(K108&lt;=45,OR(J108="Já existe verba aprovada para esse tema",J108="Entra no orçamento do próximo ciclo")),"Alta",IF(OR(K108&lt;=45,J108="Já existe verba aprovada para esse tema"),"Média","Baixa")))</f>
        <v/>
      </c>
      <c r="S108" s="17"/>
      <c r="T108" s="17"/>
      <c r="U108" s="17"/>
      <c r="V108" s="17"/>
      <c r="W108" s="17"/>
      <c r="X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6" t="str">
        <f aca="false">IF(K109="","",IF(AND(K109&lt;=45,OR(J109="Já existe verba aprovada para esse tema",J109="Entra no orçamento do próximo ciclo")),"Alta",IF(OR(K109&lt;=45,J109="Já existe verba aprovada para esse tema"),"Média","Baixa")))</f>
        <v/>
      </c>
      <c r="S109" s="17"/>
      <c r="T109" s="17"/>
      <c r="U109" s="17"/>
      <c r="V109" s="17"/>
      <c r="W109" s="17"/>
      <c r="X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6" t="str">
        <f aca="false">IF(K110="","",IF(AND(K110&lt;=45,OR(J110="Já existe verba aprovada para esse tema",J110="Entra no orçamento do próximo ciclo")),"Alta",IF(OR(K110&lt;=45,J110="Já existe verba aprovada para esse tema"),"Média","Baixa")))</f>
        <v/>
      </c>
      <c r="S110" s="17"/>
      <c r="T110" s="17"/>
      <c r="U110" s="17"/>
      <c r="V110" s="17"/>
      <c r="W110" s="17"/>
      <c r="X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6" t="str">
        <f aca="false">IF(K111="","",IF(AND(K111&lt;=45,OR(J111="Já existe verba aprovada para esse tema",J111="Entra no orçamento do próximo ciclo")),"Alta",IF(OR(K111&lt;=45,J111="Já existe verba aprovada para esse tema"),"Média","Baixa")))</f>
        <v/>
      </c>
      <c r="S111" s="17"/>
      <c r="T111" s="17"/>
      <c r="U111" s="17"/>
      <c r="V111" s="17"/>
      <c r="W111" s="17"/>
      <c r="X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6" t="str">
        <f aca="false">IF(K112="","",IF(AND(K112&lt;=45,OR(J112="Já existe verba aprovada para esse tema",J112="Entra no orçamento do próximo ciclo")),"Alta",IF(OR(K112&lt;=45,J112="Já existe verba aprovada para esse tema"),"Média","Baixa")))</f>
        <v/>
      </c>
      <c r="S112" s="17"/>
      <c r="T112" s="17"/>
      <c r="U112" s="17"/>
      <c r="V112" s="17"/>
      <c r="W112" s="17"/>
      <c r="X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6" t="str">
        <f aca="false">IF(K113="","",IF(AND(K113&lt;=45,OR(J113="Já existe verba aprovada para esse tema",J113="Entra no orçamento do próximo ciclo")),"Alta",IF(OR(K113&lt;=45,J113="Já existe verba aprovada para esse tema"),"Média","Baixa")))</f>
        <v/>
      </c>
      <c r="S113" s="17"/>
      <c r="T113" s="17"/>
      <c r="U113" s="17"/>
      <c r="V113" s="17"/>
      <c r="W113" s="17"/>
      <c r="X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6" t="str">
        <f aca="false">IF(K114="","",IF(AND(K114&lt;=45,OR(J114="Já existe verba aprovada para esse tema",J114="Entra no orçamento do próximo ciclo")),"Alta",IF(OR(K114&lt;=45,J114="Já existe verba aprovada para esse tema"),"Média","Baixa")))</f>
        <v/>
      </c>
      <c r="S114" s="17"/>
      <c r="T114" s="17"/>
      <c r="U114" s="17"/>
      <c r="V114" s="17"/>
      <c r="W114" s="17"/>
      <c r="X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6" t="str">
        <f aca="false">IF(K115="","",IF(AND(K115&lt;=45,OR(J115="Já existe verba aprovada para esse tema",J115="Entra no orçamento do próximo ciclo")),"Alta",IF(OR(K115&lt;=45,J115="Já existe verba aprovada para esse tema"),"Média","Baixa")))</f>
        <v/>
      </c>
      <c r="S115" s="17"/>
      <c r="T115" s="17"/>
      <c r="U115" s="17"/>
      <c r="V115" s="17"/>
      <c r="W115" s="17"/>
      <c r="X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6" t="str">
        <f aca="false">IF(K116="","",IF(AND(K116&lt;=45,OR(J116="Já existe verba aprovada para esse tema",J116="Entra no orçamento do próximo ciclo")),"Alta",IF(OR(K116&lt;=45,J116="Já existe verba aprovada para esse tema"),"Média","Baixa")))</f>
        <v/>
      </c>
      <c r="S116" s="17"/>
      <c r="T116" s="17"/>
      <c r="U116" s="17"/>
      <c r="V116" s="17"/>
      <c r="W116" s="17"/>
      <c r="X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 t="str">
        <f aca="false">IF(K117="","",IF(AND(K117&lt;=45,OR(J117="Já existe verba aprovada para esse tema",J117="Entra no orçamento do próximo ciclo")),"Alta",IF(OR(K117&lt;=45,J117="Já existe verba aprovada para esse tema"),"Média","Baixa")))</f>
        <v/>
      </c>
      <c r="S117" s="17"/>
      <c r="T117" s="17"/>
      <c r="U117" s="17"/>
      <c r="V117" s="17"/>
      <c r="W117" s="17"/>
      <c r="X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6" t="str">
        <f aca="false">IF(K118="","",IF(AND(K118&lt;=45,OR(J118="Já existe verba aprovada para esse tema",J118="Entra no orçamento do próximo ciclo")),"Alta",IF(OR(K118&lt;=45,J118="Já existe verba aprovada para esse tema"),"Média","Baixa")))</f>
        <v/>
      </c>
      <c r="S118" s="17"/>
      <c r="T118" s="17"/>
      <c r="U118" s="17"/>
      <c r="V118" s="17"/>
      <c r="W118" s="17"/>
      <c r="X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6" t="str">
        <f aca="false">IF(K119="","",IF(AND(K119&lt;=45,OR(J119="Já existe verba aprovada para esse tema",J119="Entra no orçamento do próximo ciclo")),"Alta",IF(OR(K119&lt;=45,J119="Já existe verba aprovada para esse tema"),"Média","Baixa")))</f>
        <v/>
      </c>
      <c r="S119" s="17"/>
      <c r="T119" s="17"/>
      <c r="U119" s="17"/>
      <c r="V119" s="17"/>
      <c r="W119" s="17"/>
      <c r="X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6" t="str">
        <f aca="false">IF(K120="","",IF(AND(K120&lt;=45,OR(J120="Já existe verba aprovada para esse tema",J120="Entra no orçamento do próximo ciclo")),"Alta",IF(OR(K120&lt;=45,J120="Já existe verba aprovada para esse tema"),"Média","Baixa")))</f>
        <v/>
      </c>
      <c r="S120" s="17"/>
      <c r="T120" s="17"/>
      <c r="U120" s="17"/>
      <c r="V120" s="17"/>
      <c r="W120" s="17"/>
      <c r="X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6" t="str">
        <f aca="false">IF(K121="","",IF(AND(K121&lt;=45,OR(J121="Já existe verba aprovada para esse tema",J121="Entra no orçamento do próximo ciclo")),"Alta",IF(OR(K121&lt;=45,J121="Já existe verba aprovada para esse tema"),"Média","Baixa")))</f>
        <v/>
      </c>
      <c r="S121" s="17"/>
      <c r="T121" s="17"/>
      <c r="U121" s="17"/>
      <c r="V121" s="17"/>
      <c r="W121" s="17"/>
      <c r="X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6" t="str">
        <f aca="false">IF(K122="","",IF(AND(K122&lt;=45,OR(J122="Já existe verba aprovada para esse tema",J122="Entra no orçamento do próximo ciclo")),"Alta",IF(OR(K122&lt;=45,J122="Já existe verba aprovada para esse tema"),"Média","Baixa")))</f>
        <v/>
      </c>
      <c r="S122" s="17"/>
      <c r="T122" s="17"/>
      <c r="U122" s="17"/>
      <c r="V122" s="17"/>
      <c r="W122" s="17"/>
      <c r="X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6" t="str">
        <f aca="false">IF(K123="","",IF(AND(K123&lt;=45,OR(J123="Já existe verba aprovada para esse tema",J123="Entra no orçamento do próximo ciclo")),"Alta",IF(OR(K123&lt;=45,J123="Já existe verba aprovada para esse tema"),"Média","Baixa")))</f>
        <v/>
      </c>
      <c r="S123" s="17"/>
      <c r="T123" s="17"/>
      <c r="U123" s="17"/>
      <c r="V123" s="17"/>
      <c r="W123" s="17"/>
      <c r="X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6" t="str">
        <f aca="false">IF(K124="","",IF(AND(K124&lt;=45,OR(J124="Já existe verba aprovada para esse tema",J124="Entra no orçamento do próximo ciclo")),"Alta",IF(OR(K124&lt;=45,J124="Já existe verba aprovada para esse tema"),"Média","Baixa")))</f>
        <v/>
      </c>
      <c r="S124" s="17"/>
      <c r="T124" s="17"/>
      <c r="U124" s="17"/>
      <c r="V124" s="17"/>
      <c r="W124" s="17"/>
      <c r="X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6" t="str">
        <f aca="false">IF(K125="","",IF(AND(K125&lt;=45,OR(J125="Já existe verba aprovada para esse tema",J125="Entra no orçamento do próximo ciclo")),"Alta",IF(OR(K125&lt;=45,J125="Já existe verba aprovada para esse tema"),"Média","Baixa")))</f>
        <v/>
      </c>
      <c r="S125" s="17"/>
      <c r="T125" s="17"/>
      <c r="U125" s="17"/>
      <c r="V125" s="17"/>
      <c r="W125" s="17"/>
      <c r="X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6" t="str">
        <f aca="false">IF(K126="","",IF(AND(K126&lt;=45,OR(J126="Já existe verba aprovada para esse tema",J126="Entra no orçamento do próximo ciclo")),"Alta",IF(OR(K126&lt;=45,J126="Já existe verba aprovada para esse tema"),"Média","Baixa")))</f>
        <v/>
      </c>
      <c r="S126" s="17"/>
      <c r="T126" s="17"/>
      <c r="U126" s="17"/>
      <c r="V126" s="17"/>
      <c r="W126" s="17"/>
      <c r="X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6" t="str">
        <f aca="false">IF(K127="","",IF(AND(K127&lt;=45,OR(J127="Já existe verba aprovada para esse tema",J127="Entra no orçamento do próximo ciclo")),"Alta",IF(OR(K127&lt;=45,J127="Já existe verba aprovada para esse tema"),"Média","Baixa")))</f>
        <v/>
      </c>
      <c r="S127" s="17"/>
      <c r="T127" s="17"/>
      <c r="U127" s="17"/>
      <c r="V127" s="17"/>
      <c r="W127" s="17"/>
      <c r="X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6" t="str">
        <f aca="false">IF(K128="","",IF(AND(K128&lt;=45,OR(J128="Já existe verba aprovada para esse tema",J128="Entra no orçamento do próximo ciclo")),"Alta",IF(OR(K128&lt;=45,J128="Já existe verba aprovada para esse tema"),"Média","Baixa")))</f>
        <v/>
      </c>
      <c r="S128" s="17"/>
      <c r="T128" s="17"/>
      <c r="U128" s="17"/>
      <c r="V128" s="17"/>
      <c r="W128" s="17"/>
      <c r="X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6" t="str">
        <f aca="false">IF(K129="","",IF(AND(K129&lt;=45,OR(J129="Já existe verba aprovada para esse tema",J129="Entra no orçamento do próximo ciclo")),"Alta",IF(OR(K129&lt;=45,J129="Já existe verba aprovada para esse tema"),"Média","Baixa")))</f>
        <v/>
      </c>
      <c r="S129" s="17"/>
      <c r="T129" s="17"/>
      <c r="U129" s="17"/>
      <c r="V129" s="17"/>
      <c r="W129" s="17"/>
      <c r="X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6" t="str">
        <f aca="false">IF(K130="","",IF(AND(K130&lt;=45,OR(J130="Já existe verba aprovada para esse tema",J130="Entra no orçamento do próximo ciclo")),"Alta",IF(OR(K130&lt;=45,J130="Já existe verba aprovada para esse tema"),"Média","Baixa")))</f>
        <v/>
      </c>
      <c r="S130" s="17"/>
      <c r="T130" s="17"/>
      <c r="U130" s="17"/>
      <c r="V130" s="17"/>
      <c r="W130" s="17"/>
      <c r="X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6" t="str">
        <f aca="false">IF(K131="","",IF(AND(K131&lt;=45,OR(J131="Já existe verba aprovada para esse tema",J131="Entra no orçamento do próximo ciclo")),"Alta",IF(OR(K131&lt;=45,J131="Já existe verba aprovada para esse tema"),"Média","Baixa")))</f>
        <v/>
      </c>
      <c r="S131" s="17"/>
      <c r="T131" s="17"/>
      <c r="U131" s="17"/>
      <c r="V131" s="17"/>
      <c r="W131" s="17"/>
      <c r="X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6" t="str">
        <f aca="false">IF(K132="","",IF(AND(K132&lt;=45,OR(J132="Já existe verba aprovada para esse tema",J132="Entra no orçamento do próximo ciclo")),"Alta",IF(OR(K132&lt;=45,J132="Já existe verba aprovada para esse tema"),"Média","Baixa")))</f>
        <v/>
      </c>
      <c r="S132" s="17"/>
      <c r="T132" s="17"/>
      <c r="U132" s="17"/>
      <c r="V132" s="17"/>
      <c r="W132" s="17"/>
      <c r="X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6" t="str">
        <f aca="false">IF(K133="","",IF(AND(K133&lt;=45,OR(J133="Já existe verba aprovada para esse tema",J133="Entra no orçamento do próximo ciclo")),"Alta",IF(OR(K133&lt;=45,J133="Já existe verba aprovada para esse tema"),"Média","Baixa")))</f>
        <v/>
      </c>
      <c r="S133" s="17"/>
      <c r="T133" s="17"/>
      <c r="U133" s="17"/>
      <c r="V133" s="17"/>
      <c r="W133" s="17"/>
      <c r="X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6" t="str">
        <f aca="false">IF(K134="","",IF(AND(K134&lt;=45,OR(J134="Já existe verba aprovada para esse tema",J134="Entra no orçamento do próximo ciclo")),"Alta",IF(OR(K134&lt;=45,J134="Já existe verba aprovada para esse tema"),"Média","Baixa")))</f>
        <v/>
      </c>
      <c r="S134" s="17"/>
      <c r="T134" s="17"/>
      <c r="U134" s="17"/>
      <c r="V134" s="17"/>
      <c r="W134" s="17"/>
      <c r="X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6" t="str">
        <f aca="false">IF(K135="","",IF(AND(K135&lt;=45,OR(J135="Já existe verba aprovada para esse tema",J135="Entra no orçamento do próximo ciclo")),"Alta",IF(OR(K135&lt;=45,J135="Já existe verba aprovada para esse tema"),"Média","Baixa")))</f>
        <v/>
      </c>
      <c r="S135" s="17"/>
      <c r="T135" s="17"/>
      <c r="U135" s="17"/>
      <c r="V135" s="17"/>
      <c r="W135" s="17"/>
      <c r="X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6" t="str">
        <f aca="false">IF(K136="","",IF(AND(K136&lt;=45,OR(J136="Já existe verba aprovada para esse tema",J136="Entra no orçamento do próximo ciclo")),"Alta",IF(OR(K136&lt;=45,J136="Já existe verba aprovada para esse tema"),"Média","Baixa")))</f>
        <v/>
      </c>
      <c r="S136" s="17"/>
      <c r="T136" s="17"/>
      <c r="U136" s="17"/>
      <c r="V136" s="17"/>
      <c r="W136" s="17"/>
      <c r="X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6" t="str">
        <f aca="false">IF(K137="","",IF(AND(K137&lt;=45,OR(J137="Já existe verba aprovada para esse tema",J137="Entra no orçamento do próximo ciclo")),"Alta",IF(OR(K137&lt;=45,J137="Já existe verba aprovada para esse tema"),"Média","Baixa")))</f>
        <v/>
      </c>
      <c r="S137" s="17"/>
      <c r="T137" s="17"/>
      <c r="U137" s="17"/>
      <c r="V137" s="17"/>
      <c r="W137" s="17"/>
      <c r="X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6" t="str">
        <f aca="false">IF(K138="","",IF(AND(K138&lt;=45,OR(J138="Já existe verba aprovada para esse tema",J138="Entra no orçamento do próximo ciclo")),"Alta",IF(OR(K138&lt;=45,J138="Já existe verba aprovada para esse tema"),"Média","Baixa")))</f>
        <v/>
      </c>
      <c r="S138" s="17"/>
      <c r="T138" s="17"/>
      <c r="U138" s="17"/>
      <c r="V138" s="17"/>
      <c r="W138" s="17"/>
      <c r="X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6" t="str">
        <f aca="false">IF(K139="","",IF(AND(K139&lt;=45,OR(J139="Já existe verba aprovada para esse tema",J139="Entra no orçamento do próximo ciclo")),"Alta",IF(OR(K139&lt;=45,J139="Já existe verba aprovada para esse tema"),"Média","Baixa")))</f>
        <v/>
      </c>
      <c r="S139" s="17"/>
      <c r="T139" s="17"/>
      <c r="U139" s="17"/>
      <c r="V139" s="17"/>
      <c r="W139" s="17"/>
      <c r="X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6" t="str">
        <f aca="false">IF(K140="","",IF(AND(K140&lt;=45,OR(J140="Já existe verba aprovada para esse tema",J140="Entra no orçamento do próximo ciclo")),"Alta",IF(OR(K140&lt;=45,J140="Já existe verba aprovada para esse tema"),"Média","Baixa")))</f>
        <v/>
      </c>
      <c r="S140" s="17"/>
      <c r="T140" s="17"/>
      <c r="U140" s="17"/>
      <c r="V140" s="17"/>
      <c r="W140" s="17"/>
      <c r="X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6" t="str">
        <f aca="false">IF(K141="","",IF(AND(K141&lt;=45,OR(J141="Já existe verba aprovada para esse tema",J141="Entra no orçamento do próximo ciclo")),"Alta",IF(OR(K141&lt;=45,J141="Já existe verba aprovada para esse tema"),"Média","Baixa")))</f>
        <v/>
      </c>
      <c r="S141" s="17"/>
      <c r="T141" s="17"/>
      <c r="U141" s="17"/>
      <c r="V141" s="17"/>
      <c r="W141" s="17"/>
      <c r="X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6" t="str">
        <f aca="false">IF(K142="","",IF(AND(K142&lt;=45,OR(J142="Já existe verba aprovada para esse tema",J142="Entra no orçamento do próximo ciclo")),"Alta",IF(OR(K142&lt;=45,J142="Já existe verba aprovada para esse tema"),"Média","Baixa")))</f>
        <v/>
      </c>
      <c r="S142" s="17"/>
      <c r="T142" s="17"/>
      <c r="U142" s="17"/>
      <c r="V142" s="17"/>
      <c r="W142" s="17"/>
      <c r="X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6" t="str">
        <f aca="false">IF(K143="","",IF(AND(K143&lt;=45,OR(J143="Já existe verba aprovada para esse tema",J143="Entra no orçamento do próximo ciclo")),"Alta",IF(OR(K143&lt;=45,J143="Já existe verba aprovada para esse tema"),"Média","Baixa")))</f>
        <v/>
      </c>
      <c r="S143" s="17"/>
      <c r="T143" s="17"/>
      <c r="U143" s="17"/>
      <c r="V143" s="17"/>
      <c r="W143" s="17"/>
      <c r="X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6" t="str">
        <f aca="false">IF(K144="","",IF(AND(K144&lt;=45,OR(J144="Já existe verba aprovada para esse tema",J144="Entra no orçamento do próximo ciclo")),"Alta",IF(OR(K144&lt;=45,J144="Já existe verba aprovada para esse tema"),"Média","Baixa")))</f>
        <v/>
      </c>
      <c r="S144" s="17"/>
      <c r="T144" s="17"/>
      <c r="U144" s="17"/>
      <c r="V144" s="17"/>
      <c r="W144" s="17"/>
      <c r="X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6" t="str">
        <f aca="false">IF(K145="","",IF(AND(K145&lt;=45,OR(J145="Já existe verba aprovada para esse tema",J145="Entra no orçamento do próximo ciclo")),"Alta",IF(OR(K145&lt;=45,J145="Já existe verba aprovada para esse tema"),"Média","Baixa")))</f>
        <v/>
      </c>
      <c r="S145" s="17"/>
      <c r="T145" s="17"/>
      <c r="U145" s="17"/>
      <c r="V145" s="17"/>
      <c r="W145" s="17"/>
      <c r="X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6" t="str">
        <f aca="false">IF(K146="","",IF(AND(K146&lt;=45,OR(J146="Já existe verba aprovada para esse tema",J146="Entra no orçamento do próximo ciclo")),"Alta",IF(OR(K146&lt;=45,J146="Já existe verba aprovada para esse tema"),"Média","Baixa")))</f>
        <v/>
      </c>
      <c r="S146" s="17"/>
      <c r="T146" s="17"/>
      <c r="U146" s="17"/>
      <c r="V146" s="17"/>
      <c r="W146" s="17"/>
      <c r="X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6" t="str">
        <f aca="false">IF(K147="","",IF(AND(K147&lt;=45,OR(J147="Já existe verba aprovada para esse tema",J147="Entra no orçamento do próximo ciclo")),"Alta",IF(OR(K147&lt;=45,J147="Já existe verba aprovada para esse tema"),"Média","Baixa")))</f>
        <v/>
      </c>
      <c r="S147" s="17"/>
      <c r="T147" s="17"/>
      <c r="U147" s="17"/>
      <c r="V147" s="17"/>
      <c r="W147" s="17"/>
      <c r="X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6" t="str">
        <f aca="false">IF(K148="","",IF(AND(K148&lt;=45,OR(J148="Já existe verba aprovada para esse tema",J148="Entra no orçamento do próximo ciclo")),"Alta",IF(OR(K148&lt;=45,J148="Já existe verba aprovada para esse tema"),"Média","Baixa")))</f>
        <v/>
      </c>
      <c r="S148" s="17"/>
      <c r="T148" s="17"/>
      <c r="U148" s="17"/>
      <c r="V148" s="17"/>
      <c r="W148" s="17"/>
      <c r="X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6" t="str">
        <f aca="false">IF(K149="","",IF(AND(K149&lt;=45,OR(J149="Já existe verba aprovada para esse tema",J149="Entra no orçamento do próximo ciclo")),"Alta",IF(OR(K149&lt;=45,J149="Já existe verba aprovada para esse tema"),"Média","Baixa")))</f>
        <v/>
      </c>
      <c r="S149" s="17"/>
      <c r="T149" s="17"/>
      <c r="U149" s="17"/>
      <c r="V149" s="17"/>
      <c r="W149" s="17"/>
      <c r="X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6" t="str">
        <f aca="false">IF(K150="","",IF(AND(K150&lt;=45,OR(J150="Já existe verba aprovada para esse tema",J150="Entra no orçamento do próximo ciclo")),"Alta",IF(OR(K150&lt;=45,J150="Já existe verba aprovada para esse tema"),"Média","Baixa")))</f>
        <v/>
      </c>
      <c r="S150" s="17"/>
      <c r="T150" s="17"/>
      <c r="U150" s="17"/>
      <c r="V150" s="17"/>
      <c r="W150" s="17"/>
      <c r="X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6" t="str">
        <f aca="false">IF(K151="","",IF(AND(K151&lt;=45,OR(J151="Já existe verba aprovada para esse tema",J151="Entra no orçamento do próximo ciclo")),"Alta",IF(OR(K151&lt;=45,J151="Já existe verba aprovada para esse tema"),"Média","Baixa")))</f>
        <v/>
      </c>
      <c r="S151" s="17"/>
      <c r="T151" s="17"/>
      <c r="U151" s="17"/>
      <c r="V151" s="17"/>
      <c r="W151" s="17"/>
      <c r="X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6" t="str">
        <f aca="false">IF(K152="","",IF(AND(K152&lt;=45,OR(J152="Já existe verba aprovada para esse tema",J152="Entra no orçamento do próximo ciclo")),"Alta",IF(OR(K152&lt;=45,J152="Já existe verba aprovada para esse tema"),"Média","Baixa")))</f>
        <v/>
      </c>
      <c r="S152" s="17"/>
      <c r="T152" s="17"/>
      <c r="U152" s="17"/>
      <c r="V152" s="17"/>
      <c r="W152" s="17"/>
      <c r="X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6" t="str">
        <f aca="false">IF(K153="","",IF(AND(K153&lt;=45,OR(J153="Já existe verba aprovada para esse tema",J153="Entra no orçamento do próximo ciclo")),"Alta",IF(OR(K153&lt;=45,J153="Já existe verba aprovada para esse tema"),"Média","Baixa")))</f>
        <v/>
      </c>
      <c r="S153" s="17"/>
      <c r="T153" s="17"/>
      <c r="U153" s="17"/>
      <c r="V153" s="17"/>
      <c r="W153" s="17"/>
      <c r="X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6" t="str">
        <f aca="false">IF(K154="","",IF(AND(K154&lt;=45,OR(J154="Já existe verba aprovada para esse tema",J154="Entra no orçamento do próximo ciclo")),"Alta",IF(OR(K154&lt;=45,J154="Já existe verba aprovada para esse tema"),"Média","Baixa")))</f>
        <v/>
      </c>
      <c r="S154" s="17"/>
      <c r="T154" s="17"/>
      <c r="U154" s="17"/>
      <c r="V154" s="17"/>
      <c r="W154" s="17"/>
      <c r="X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6" t="str">
        <f aca="false">IF(K155="","",IF(AND(K155&lt;=45,OR(J155="Já existe verba aprovada para esse tema",J155="Entra no orçamento do próximo ciclo")),"Alta",IF(OR(K155&lt;=45,J155="Já existe verba aprovada para esse tema"),"Média","Baixa")))</f>
        <v/>
      </c>
      <c r="S155" s="17"/>
      <c r="T155" s="17"/>
      <c r="U155" s="17"/>
      <c r="V155" s="17"/>
      <c r="W155" s="17"/>
      <c r="X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6" t="str">
        <f aca="false">IF(K156="","",IF(AND(K156&lt;=45,OR(J156="Já existe verba aprovada para esse tema",J156="Entra no orçamento do próximo ciclo")),"Alta",IF(OR(K156&lt;=45,J156="Já existe verba aprovada para esse tema"),"Média","Baixa")))</f>
        <v/>
      </c>
      <c r="S156" s="17"/>
      <c r="T156" s="17"/>
      <c r="U156" s="17"/>
      <c r="V156" s="17"/>
      <c r="W156" s="17"/>
      <c r="X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6" t="str">
        <f aca="false">IF(K157="","",IF(AND(K157&lt;=45,OR(J157="Já existe verba aprovada para esse tema",J157="Entra no orçamento do próximo ciclo")),"Alta",IF(OR(K157&lt;=45,J157="Já existe verba aprovada para esse tema"),"Média","Baixa")))</f>
        <v/>
      </c>
      <c r="S157" s="17"/>
      <c r="T157" s="17"/>
      <c r="U157" s="17"/>
      <c r="V157" s="17"/>
      <c r="W157" s="17"/>
      <c r="X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6" t="str">
        <f aca="false">IF(K158="","",IF(AND(K158&lt;=45,OR(J158="Já existe verba aprovada para esse tema",J158="Entra no orçamento do próximo ciclo")),"Alta",IF(OR(K158&lt;=45,J158="Já existe verba aprovada para esse tema"),"Média","Baixa")))</f>
        <v/>
      </c>
      <c r="S158" s="17"/>
      <c r="T158" s="17"/>
      <c r="U158" s="17"/>
      <c r="V158" s="17"/>
      <c r="W158" s="17"/>
      <c r="X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6" t="str">
        <f aca="false">IF(K159="","",IF(AND(K159&lt;=45,OR(J159="Já existe verba aprovada para esse tema",J159="Entra no orçamento do próximo ciclo")),"Alta",IF(OR(K159&lt;=45,J159="Já existe verba aprovada para esse tema"),"Média","Baixa")))</f>
        <v/>
      </c>
      <c r="S159" s="17"/>
      <c r="T159" s="17"/>
      <c r="U159" s="17"/>
      <c r="V159" s="17"/>
      <c r="W159" s="17"/>
      <c r="X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6" t="str">
        <f aca="false">IF(K160="","",IF(AND(K160&lt;=45,OR(J160="Já existe verba aprovada para esse tema",J160="Entra no orçamento do próximo ciclo")),"Alta",IF(OR(K160&lt;=45,J160="Já existe verba aprovada para esse tema"),"Média","Baixa")))</f>
        <v/>
      </c>
      <c r="S160" s="17"/>
      <c r="T160" s="17"/>
      <c r="U160" s="17"/>
      <c r="V160" s="17"/>
      <c r="W160" s="17"/>
      <c r="X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6" t="str">
        <f aca="false">IF(K161="","",IF(AND(K161&lt;=45,OR(J161="Já existe verba aprovada para esse tema",J161="Entra no orçamento do próximo ciclo")),"Alta",IF(OR(K161&lt;=45,J161="Já existe verba aprovada para esse tema"),"Média","Baixa")))</f>
        <v/>
      </c>
      <c r="S161" s="17"/>
      <c r="T161" s="17"/>
      <c r="U161" s="17"/>
      <c r="V161" s="17"/>
      <c r="W161" s="17"/>
      <c r="X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6" t="str">
        <f aca="false">IF(K162="","",IF(AND(K162&lt;=45,OR(J162="Já existe verba aprovada para esse tema",J162="Entra no orçamento do próximo ciclo")),"Alta",IF(OR(K162&lt;=45,J162="Já existe verba aprovada para esse tema"),"Média","Baixa")))</f>
        <v/>
      </c>
      <c r="S162" s="17"/>
      <c r="T162" s="17"/>
      <c r="U162" s="17"/>
      <c r="V162" s="17"/>
      <c r="W162" s="17"/>
      <c r="X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6" t="str">
        <f aca="false">IF(K163="","",IF(AND(K163&lt;=45,OR(J163="Já existe verba aprovada para esse tema",J163="Entra no orçamento do próximo ciclo")),"Alta",IF(OR(K163&lt;=45,J163="Já existe verba aprovada para esse tema"),"Média","Baixa")))</f>
        <v/>
      </c>
      <c r="S163" s="17"/>
      <c r="T163" s="17"/>
      <c r="U163" s="17"/>
      <c r="V163" s="17"/>
      <c r="W163" s="17"/>
      <c r="X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6" t="str">
        <f aca="false">IF(K164="","",IF(AND(K164&lt;=45,OR(J164="Já existe verba aprovada para esse tema",J164="Entra no orçamento do próximo ciclo")),"Alta",IF(OR(K164&lt;=45,J164="Já existe verba aprovada para esse tema"),"Média","Baixa")))</f>
        <v/>
      </c>
      <c r="S164" s="17"/>
      <c r="T164" s="17"/>
      <c r="U164" s="17"/>
      <c r="V164" s="17"/>
      <c r="W164" s="17"/>
      <c r="X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6" t="str">
        <f aca="false">IF(K165="","",IF(AND(K165&lt;=45,OR(J165="Já existe verba aprovada para esse tema",J165="Entra no orçamento do próximo ciclo")),"Alta",IF(OR(K165&lt;=45,J165="Já existe verba aprovada para esse tema"),"Média","Baixa")))</f>
        <v/>
      </c>
      <c r="S165" s="17"/>
      <c r="T165" s="17"/>
      <c r="U165" s="17"/>
      <c r="V165" s="17"/>
      <c r="W165" s="17"/>
      <c r="X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6" t="str">
        <f aca="false">IF(K166="","",IF(AND(K166&lt;=45,OR(J166="Já existe verba aprovada para esse tema",J166="Entra no orçamento do próximo ciclo")),"Alta",IF(OR(K166&lt;=45,J166="Já existe verba aprovada para esse tema"),"Média","Baixa")))</f>
        <v/>
      </c>
      <c r="S166" s="17"/>
      <c r="T166" s="17"/>
      <c r="U166" s="17"/>
      <c r="V166" s="17"/>
      <c r="W166" s="17"/>
      <c r="X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6" t="str">
        <f aca="false">IF(K167="","",IF(AND(K167&lt;=45,OR(J167="Já existe verba aprovada para esse tema",J167="Entra no orçamento do próximo ciclo")),"Alta",IF(OR(K167&lt;=45,J167="Já existe verba aprovada para esse tema"),"Média","Baixa")))</f>
        <v/>
      </c>
      <c r="S167" s="17"/>
      <c r="T167" s="17"/>
      <c r="U167" s="17"/>
      <c r="V167" s="17"/>
      <c r="W167" s="17"/>
      <c r="X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6" t="str">
        <f aca="false">IF(K168="","",IF(AND(K168&lt;=45,OR(J168="Já existe verba aprovada para esse tema",J168="Entra no orçamento do próximo ciclo")),"Alta",IF(OR(K168&lt;=45,J168="Já existe verba aprovada para esse tema"),"Média","Baixa")))</f>
        <v/>
      </c>
      <c r="S168" s="17"/>
      <c r="T168" s="17"/>
      <c r="U168" s="17"/>
      <c r="V168" s="17"/>
      <c r="W168" s="17"/>
      <c r="X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6" t="str">
        <f aca="false">IF(K169="","",IF(AND(K169&lt;=45,OR(J169="Já existe verba aprovada para esse tema",J169="Entra no orçamento do próximo ciclo")),"Alta",IF(OR(K169&lt;=45,J169="Já existe verba aprovada para esse tema"),"Média","Baixa")))</f>
        <v/>
      </c>
      <c r="S169" s="17"/>
      <c r="T169" s="17"/>
      <c r="U169" s="17"/>
      <c r="V169" s="17"/>
      <c r="W169" s="17"/>
      <c r="X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6" t="str">
        <f aca="false">IF(K170="","",IF(AND(K170&lt;=45,OR(J170="Já existe verba aprovada para esse tema",J170="Entra no orçamento do próximo ciclo")),"Alta",IF(OR(K170&lt;=45,J170="Já existe verba aprovada para esse tema"),"Média","Baixa")))</f>
        <v/>
      </c>
      <c r="S170" s="17"/>
      <c r="T170" s="17"/>
      <c r="U170" s="17"/>
      <c r="V170" s="17"/>
      <c r="W170" s="17"/>
      <c r="X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6" t="str">
        <f aca="false">IF(K171="","",IF(AND(K171&lt;=45,OR(J171="Já existe verba aprovada para esse tema",J171="Entra no orçamento do próximo ciclo")),"Alta",IF(OR(K171&lt;=45,J171="Já existe verba aprovada para esse tema"),"Média","Baixa")))</f>
        <v/>
      </c>
      <c r="S171" s="17"/>
      <c r="T171" s="17"/>
      <c r="U171" s="17"/>
      <c r="V171" s="17"/>
      <c r="W171" s="17"/>
      <c r="X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6" t="str">
        <f aca="false">IF(K172="","",IF(AND(K172&lt;=45,OR(J172="Já existe verba aprovada para esse tema",J172="Entra no orçamento do próximo ciclo")),"Alta",IF(OR(K172&lt;=45,J172="Já existe verba aprovada para esse tema"),"Média","Baixa")))</f>
        <v/>
      </c>
      <c r="S172" s="17"/>
      <c r="T172" s="17"/>
      <c r="U172" s="17"/>
      <c r="V172" s="17"/>
      <c r="W172" s="17"/>
      <c r="X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6" t="str">
        <f aca="false">IF(K173="","",IF(AND(K173&lt;=45,OR(J173="Já existe verba aprovada para esse tema",J173="Entra no orçamento do próximo ciclo")),"Alta",IF(OR(K173&lt;=45,J173="Já existe verba aprovada para esse tema"),"Média","Baixa")))</f>
        <v/>
      </c>
      <c r="S173" s="17"/>
      <c r="T173" s="17"/>
      <c r="U173" s="17"/>
      <c r="V173" s="17"/>
      <c r="W173" s="17"/>
      <c r="X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6" t="str">
        <f aca="false">IF(K174="","",IF(AND(K174&lt;=45,OR(J174="Já existe verba aprovada para esse tema",J174="Entra no orçamento do próximo ciclo")),"Alta",IF(OR(K174&lt;=45,J174="Já existe verba aprovada para esse tema"),"Média","Baixa")))</f>
        <v/>
      </c>
      <c r="S174" s="17"/>
      <c r="T174" s="17"/>
      <c r="U174" s="17"/>
      <c r="V174" s="17"/>
      <c r="W174" s="17"/>
      <c r="X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6" t="str">
        <f aca="false">IF(K175="","",IF(AND(K175&lt;=45,OR(J175="Já existe verba aprovada para esse tema",J175="Entra no orçamento do próximo ciclo")),"Alta",IF(OR(K175&lt;=45,J175="Já existe verba aprovada para esse tema"),"Média","Baixa")))</f>
        <v/>
      </c>
      <c r="S175" s="17"/>
      <c r="T175" s="17"/>
      <c r="U175" s="17"/>
      <c r="V175" s="17"/>
      <c r="W175" s="17"/>
      <c r="X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6" t="str">
        <f aca="false">IF(K176="","",IF(AND(K176&lt;=45,OR(J176="Já existe verba aprovada para esse tema",J176="Entra no orçamento do próximo ciclo")),"Alta",IF(OR(K176&lt;=45,J176="Já existe verba aprovada para esse tema"),"Média","Baixa")))</f>
        <v/>
      </c>
      <c r="S176" s="17"/>
      <c r="T176" s="17"/>
      <c r="U176" s="17"/>
      <c r="V176" s="17"/>
      <c r="W176" s="17"/>
      <c r="X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6" t="str">
        <f aca="false">IF(K177="","",IF(AND(K177&lt;=45,OR(J177="Já existe verba aprovada para esse tema",J177="Entra no orçamento do próximo ciclo")),"Alta",IF(OR(K177&lt;=45,J177="Já existe verba aprovada para esse tema"),"Média","Baixa")))</f>
        <v/>
      </c>
      <c r="S177" s="17"/>
      <c r="T177" s="17"/>
      <c r="U177" s="17"/>
      <c r="V177" s="17"/>
      <c r="W177" s="17"/>
      <c r="X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6" t="str">
        <f aca="false">IF(K178="","",IF(AND(K178&lt;=45,OR(J178="Já existe verba aprovada para esse tema",J178="Entra no orçamento do próximo ciclo")),"Alta",IF(OR(K178&lt;=45,J178="Já existe verba aprovada para esse tema"),"Média","Baixa")))</f>
        <v/>
      </c>
      <c r="S178" s="17"/>
      <c r="T178" s="17"/>
      <c r="U178" s="17"/>
      <c r="V178" s="17"/>
      <c r="W178" s="17"/>
      <c r="X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6" t="str">
        <f aca="false">IF(K179="","",IF(AND(K179&lt;=45,OR(J179="Já existe verba aprovada para esse tema",J179="Entra no orçamento do próximo ciclo")),"Alta",IF(OR(K179&lt;=45,J179="Já existe verba aprovada para esse tema"),"Média","Baixa")))</f>
        <v/>
      </c>
      <c r="S179" s="17"/>
      <c r="T179" s="17"/>
      <c r="U179" s="17"/>
      <c r="V179" s="17"/>
      <c r="W179" s="17"/>
      <c r="X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6" t="str">
        <f aca="false">IF(K180="","",IF(AND(K180&lt;=45,OR(J180="Já existe verba aprovada para esse tema",J180="Entra no orçamento do próximo ciclo")),"Alta",IF(OR(K180&lt;=45,J180="Já existe verba aprovada para esse tema"),"Média","Baixa")))</f>
        <v/>
      </c>
      <c r="S180" s="17"/>
      <c r="T180" s="17"/>
      <c r="U180" s="17"/>
      <c r="V180" s="17"/>
      <c r="W180" s="17"/>
      <c r="X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6" t="str">
        <f aca="false">IF(K181="","",IF(AND(K181&lt;=45,OR(J181="Já existe verba aprovada para esse tema",J181="Entra no orçamento do próximo ciclo")),"Alta",IF(OR(K181&lt;=45,J181="Já existe verba aprovada para esse tema"),"Média","Baixa")))</f>
        <v/>
      </c>
      <c r="S181" s="17"/>
      <c r="T181" s="17"/>
      <c r="U181" s="17"/>
      <c r="V181" s="17"/>
      <c r="W181" s="17"/>
      <c r="X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6" t="str">
        <f aca="false">IF(K182="","",IF(AND(K182&lt;=45,OR(J182="Já existe verba aprovada para esse tema",J182="Entra no orçamento do próximo ciclo")),"Alta",IF(OR(K182&lt;=45,J182="Já existe verba aprovada para esse tema"),"Média","Baixa")))</f>
        <v/>
      </c>
      <c r="S182" s="17"/>
      <c r="T182" s="17"/>
      <c r="U182" s="17"/>
      <c r="V182" s="17"/>
      <c r="W182" s="17"/>
      <c r="X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6" t="str">
        <f aca="false">IF(K183="","",IF(AND(K183&lt;=45,OR(J183="Já existe verba aprovada para esse tema",J183="Entra no orçamento do próximo ciclo")),"Alta",IF(OR(K183&lt;=45,J183="Já existe verba aprovada para esse tema"),"Média","Baixa")))</f>
        <v/>
      </c>
      <c r="S183" s="17"/>
      <c r="T183" s="17"/>
      <c r="U183" s="17"/>
      <c r="V183" s="17"/>
      <c r="W183" s="17"/>
      <c r="X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6" t="str">
        <f aca="false">IF(K184="","",IF(AND(K184&lt;=45,OR(J184="Já existe verba aprovada para esse tema",J184="Entra no orçamento do próximo ciclo")),"Alta",IF(OR(K184&lt;=45,J184="Já existe verba aprovada para esse tema"),"Média","Baixa")))</f>
        <v/>
      </c>
      <c r="S184" s="17"/>
      <c r="T184" s="17"/>
      <c r="U184" s="17"/>
      <c r="V184" s="17"/>
      <c r="W184" s="17"/>
      <c r="X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6" t="str">
        <f aca="false">IF(K185="","",IF(AND(K185&lt;=45,OR(J185="Já existe verba aprovada para esse tema",J185="Entra no orçamento do próximo ciclo")),"Alta",IF(OR(K185&lt;=45,J185="Já existe verba aprovada para esse tema"),"Média","Baixa")))</f>
        <v/>
      </c>
      <c r="S185" s="17"/>
      <c r="T185" s="17"/>
      <c r="U185" s="17"/>
      <c r="V185" s="17"/>
      <c r="W185" s="17"/>
      <c r="X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6" t="str">
        <f aca="false">IF(K186="","",IF(AND(K186&lt;=45,OR(J186="Já existe verba aprovada para esse tema",J186="Entra no orçamento do próximo ciclo")),"Alta",IF(OR(K186&lt;=45,J186="Já existe verba aprovada para esse tema"),"Média","Baixa")))</f>
        <v/>
      </c>
      <c r="S186" s="17"/>
      <c r="T186" s="17"/>
      <c r="U186" s="17"/>
      <c r="V186" s="17"/>
      <c r="W186" s="17"/>
      <c r="X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6" t="str">
        <f aca="false">IF(K187="","",IF(AND(K187&lt;=45,OR(J187="Já existe verba aprovada para esse tema",J187="Entra no orçamento do próximo ciclo")),"Alta",IF(OR(K187&lt;=45,J187="Já existe verba aprovada para esse tema"),"Média","Baixa")))</f>
        <v/>
      </c>
      <c r="S187" s="17"/>
      <c r="T187" s="17"/>
      <c r="U187" s="17"/>
      <c r="V187" s="17"/>
      <c r="W187" s="17"/>
      <c r="X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6" t="str">
        <f aca="false">IF(K188="","",IF(AND(K188&lt;=45,OR(J188="Já existe verba aprovada para esse tema",J188="Entra no orçamento do próximo ciclo")),"Alta",IF(OR(K188&lt;=45,J188="Já existe verba aprovada para esse tema"),"Média","Baixa")))</f>
        <v/>
      </c>
      <c r="S188" s="17"/>
      <c r="T188" s="17"/>
      <c r="U188" s="17"/>
      <c r="V188" s="17"/>
      <c r="W188" s="17"/>
      <c r="X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6" t="str">
        <f aca="false">IF(K189="","",IF(AND(K189&lt;=45,OR(J189="Já existe verba aprovada para esse tema",J189="Entra no orçamento do próximo ciclo")),"Alta",IF(OR(K189&lt;=45,J189="Já existe verba aprovada para esse tema"),"Média","Baixa")))</f>
        <v/>
      </c>
      <c r="S189" s="17"/>
      <c r="T189" s="17"/>
      <c r="U189" s="17"/>
      <c r="V189" s="17"/>
      <c r="W189" s="17"/>
      <c r="X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6" t="str">
        <f aca="false">IF(K190="","",IF(AND(K190&lt;=45,OR(J190="Já existe verba aprovada para esse tema",J190="Entra no orçamento do próximo ciclo")),"Alta",IF(OR(K190&lt;=45,J190="Já existe verba aprovada para esse tema"),"Média","Baixa")))</f>
        <v/>
      </c>
      <c r="S190" s="17"/>
      <c r="T190" s="17"/>
      <c r="U190" s="17"/>
      <c r="V190" s="17"/>
      <c r="W190" s="17"/>
      <c r="X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6" t="str">
        <f aca="false">IF(K191="","",IF(AND(K191&lt;=45,OR(J191="Já existe verba aprovada para esse tema",J191="Entra no orçamento do próximo ciclo")),"Alta",IF(OR(K191&lt;=45,J191="Já existe verba aprovada para esse tema"),"Média","Baixa")))</f>
        <v/>
      </c>
      <c r="S191" s="17"/>
      <c r="T191" s="17"/>
      <c r="U191" s="17"/>
      <c r="V191" s="17"/>
      <c r="W191" s="17"/>
      <c r="X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6" t="str">
        <f aca="false">IF(K192="","",IF(AND(K192&lt;=45,OR(J192="Já existe verba aprovada para esse tema",J192="Entra no orçamento do próximo ciclo")),"Alta",IF(OR(K192&lt;=45,J192="Já existe verba aprovada para esse tema"),"Média","Baixa")))</f>
        <v/>
      </c>
      <c r="S192" s="17"/>
      <c r="T192" s="17"/>
      <c r="U192" s="17"/>
      <c r="V192" s="17"/>
      <c r="W192" s="17"/>
      <c r="X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6" t="str">
        <f aca="false">IF(K193="","",IF(AND(K193&lt;=45,OR(J193="Já existe verba aprovada para esse tema",J193="Entra no orçamento do próximo ciclo")),"Alta",IF(OR(K193&lt;=45,J193="Já existe verba aprovada para esse tema"),"Média","Baixa")))</f>
        <v/>
      </c>
      <c r="S193" s="17"/>
      <c r="T193" s="17"/>
      <c r="U193" s="17"/>
      <c r="V193" s="17"/>
      <c r="W193" s="17"/>
      <c r="X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6" t="str">
        <f aca="false">IF(K194="","",IF(AND(K194&lt;=45,OR(J194="Já existe verba aprovada para esse tema",J194="Entra no orçamento do próximo ciclo")),"Alta",IF(OR(K194&lt;=45,J194="Já existe verba aprovada para esse tema"),"Média","Baixa")))</f>
        <v/>
      </c>
      <c r="S194" s="17"/>
      <c r="T194" s="17"/>
      <c r="U194" s="17"/>
      <c r="V194" s="17"/>
      <c r="W194" s="17"/>
      <c r="X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6" t="str">
        <f aca="false">IF(K195="","",IF(AND(K195&lt;=45,OR(J195="Já existe verba aprovada para esse tema",J195="Entra no orçamento do próximo ciclo")),"Alta",IF(OR(K195&lt;=45,J195="Já existe verba aprovada para esse tema"),"Média","Baixa")))</f>
        <v/>
      </c>
      <c r="S195" s="17"/>
      <c r="T195" s="17"/>
      <c r="U195" s="17"/>
      <c r="V195" s="17"/>
      <c r="W195" s="17"/>
      <c r="X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6" t="str">
        <f aca="false">IF(K196="","",IF(AND(K196&lt;=45,OR(J196="Já existe verba aprovada para esse tema",J196="Entra no orçamento do próximo ciclo")),"Alta",IF(OR(K196&lt;=45,J196="Já existe verba aprovada para esse tema"),"Média","Baixa")))</f>
        <v/>
      </c>
      <c r="S196" s="17"/>
      <c r="T196" s="17"/>
      <c r="U196" s="17"/>
      <c r="V196" s="17"/>
      <c r="W196" s="17"/>
      <c r="X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6" t="str">
        <f aca="false">IF(K197="","",IF(AND(K197&lt;=45,OR(J197="Já existe verba aprovada para esse tema",J197="Entra no orçamento do próximo ciclo")),"Alta",IF(OR(K197&lt;=45,J197="Já existe verba aprovada para esse tema"),"Média","Baixa")))</f>
        <v/>
      </c>
      <c r="S197" s="17"/>
      <c r="T197" s="17"/>
      <c r="U197" s="17"/>
      <c r="V197" s="17"/>
      <c r="W197" s="17"/>
      <c r="X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6" t="str">
        <f aca="false">IF(K198="","",IF(AND(K198&lt;=45,OR(J198="Já existe verba aprovada para esse tema",J198="Entra no orçamento do próximo ciclo")),"Alta",IF(OR(K198&lt;=45,J198="Já existe verba aprovada para esse tema"),"Média","Baixa")))</f>
        <v/>
      </c>
      <c r="S198" s="17"/>
      <c r="T198" s="17"/>
      <c r="U198" s="17"/>
      <c r="V198" s="17"/>
      <c r="W198" s="17"/>
      <c r="X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6" t="str">
        <f aca="false">IF(K199="","",IF(AND(K199&lt;=45,OR(J199="Já existe verba aprovada para esse tema",J199="Entra no orçamento do próximo ciclo")),"Alta",IF(OR(K199&lt;=45,J199="Já existe verba aprovada para esse tema"),"Média","Baixa")))</f>
        <v/>
      </c>
      <c r="S199" s="17"/>
      <c r="T199" s="17"/>
      <c r="U199" s="17"/>
      <c r="V199" s="17"/>
      <c r="W199" s="17"/>
      <c r="X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6" t="str">
        <f aca="false">IF(K200="","",IF(AND(K200&lt;=45,OR(J200="Já existe verba aprovada para esse tema",J200="Entra no orçamento do próximo ciclo")),"Alta",IF(OR(K200&lt;=45,J200="Já existe verba aprovada para esse tema"),"Média","Baixa")))</f>
        <v/>
      </c>
      <c r="S200" s="17"/>
      <c r="T200" s="17"/>
      <c r="U200" s="17"/>
      <c r="V200" s="17"/>
      <c r="W200" s="17"/>
      <c r="X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6" t="str">
        <f aca="false">IF(K201="","",IF(AND(K201&lt;=45,OR(J201="Já existe verba aprovada para esse tema",J201="Entra no orçamento do próximo ciclo")),"Alta",IF(OR(K201&lt;=45,J201="Já existe verba aprovada para esse tema"),"Média","Baixa")))</f>
        <v/>
      </c>
      <c r="S201" s="17"/>
      <c r="T201" s="17"/>
      <c r="U201" s="17"/>
      <c r="V201" s="17"/>
      <c r="W201" s="17"/>
      <c r="X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6" t="str">
        <f aca="false">IF(K202="","",IF(AND(K202&lt;=45,OR(J202="Já existe verba aprovada para esse tema",J202="Entra no orçamento do próximo ciclo")),"Alta",IF(OR(K202&lt;=45,J202="Já existe verba aprovada para esse tema"),"Média","Baixa")))</f>
        <v/>
      </c>
      <c r="S202" s="17"/>
      <c r="T202" s="17"/>
      <c r="U202" s="17"/>
      <c r="V202" s="17"/>
      <c r="W202" s="17"/>
      <c r="X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6" t="str">
        <f aca="false">IF(K203="","",IF(AND(K203&lt;=45,OR(J203="Já existe verba aprovada para esse tema",J203="Entra no orçamento do próximo ciclo")),"Alta",IF(OR(K203&lt;=45,J203="Já existe verba aprovada para esse tema"),"Média","Baixa")))</f>
        <v/>
      </c>
      <c r="S203" s="17"/>
      <c r="T203" s="17"/>
      <c r="U203" s="17"/>
      <c r="V203" s="17"/>
      <c r="W203" s="17"/>
      <c r="X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6" t="str">
        <f aca="false">IF(K204="","",IF(AND(K204&lt;=45,OR(J204="Já existe verba aprovada para esse tema",J204="Entra no orçamento do próximo ciclo")),"Alta",IF(OR(K204&lt;=45,J204="Já existe verba aprovada para esse tema"),"Média","Baixa")))</f>
        <v/>
      </c>
      <c r="S204" s="17"/>
      <c r="T204" s="17"/>
      <c r="U204" s="17"/>
      <c r="V204" s="17"/>
      <c r="W204" s="17"/>
      <c r="X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6" t="str">
        <f aca="false">IF(K205="","",IF(AND(K205&lt;=45,OR(J205="Já existe verba aprovada para esse tema",J205="Entra no orçamento do próximo ciclo")),"Alta",IF(OR(K205&lt;=45,J205="Já existe verba aprovada para esse tema"),"Média","Baixa")))</f>
        <v/>
      </c>
      <c r="S205" s="17"/>
      <c r="T205" s="17"/>
      <c r="U205" s="17"/>
      <c r="V205" s="17"/>
      <c r="W205" s="17"/>
      <c r="X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6" t="str">
        <f aca="false">IF(K206="","",IF(AND(K206&lt;=45,OR(J206="Já existe verba aprovada para esse tema",J206="Entra no orçamento do próximo ciclo")),"Alta",IF(OR(K206&lt;=45,J206="Já existe verba aprovada para esse tema"),"Média","Baixa")))</f>
        <v/>
      </c>
      <c r="S206" s="17"/>
      <c r="T206" s="17"/>
      <c r="U206" s="17"/>
      <c r="V206" s="17"/>
      <c r="W206" s="17"/>
      <c r="X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6" t="str">
        <f aca="false">IF(K207="","",IF(AND(K207&lt;=45,OR(J207="Já existe verba aprovada para esse tema",J207="Entra no orçamento do próximo ciclo")),"Alta",IF(OR(K207&lt;=45,J207="Já existe verba aprovada para esse tema"),"Média","Baixa")))</f>
        <v/>
      </c>
      <c r="S207" s="17"/>
      <c r="T207" s="17"/>
      <c r="U207" s="17"/>
      <c r="V207" s="17"/>
      <c r="W207" s="17"/>
      <c r="X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6" t="str">
        <f aca="false">IF(K208="","",IF(AND(K208&lt;=45,OR(J208="Já existe verba aprovada para esse tema",J208="Entra no orçamento do próximo ciclo")),"Alta",IF(OR(K208&lt;=45,J208="Já existe verba aprovada para esse tema"),"Média","Baixa")))</f>
        <v/>
      </c>
      <c r="S208" s="17"/>
      <c r="T208" s="17"/>
      <c r="U208" s="17"/>
      <c r="V208" s="17"/>
      <c r="W208" s="17"/>
      <c r="X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6" t="str">
        <f aca="false">IF(K209="","",IF(AND(K209&lt;=45,OR(J209="Já existe verba aprovada para esse tema",J209="Entra no orçamento do próximo ciclo")),"Alta",IF(OR(K209&lt;=45,J209="Já existe verba aprovada para esse tema"),"Média","Baixa")))</f>
        <v/>
      </c>
      <c r="S209" s="17"/>
      <c r="T209" s="17"/>
      <c r="U209" s="17"/>
      <c r="V209" s="17"/>
      <c r="W209" s="17"/>
      <c r="X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6" t="str">
        <f aca="false">IF(K210="","",IF(AND(K210&lt;=45,OR(J210="Já existe verba aprovada para esse tema",J210="Entra no orçamento do próximo ciclo")),"Alta",IF(OR(K210&lt;=45,J210="Já existe verba aprovada para esse tema"),"Média","Baixa")))</f>
        <v/>
      </c>
      <c r="S210" s="17"/>
      <c r="T210" s="17"/>
      <c r="U210" s="17"/>
      <c r="V210" s="17"/>
      <c r="W210" s="17"/>
      <c r="X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6" t="str">
        <f aca="false">IF(K211="","",IF(AND(K211&lt;=45,OR(J211="Já existe verba aprovada para esse tema",J211="Entra no orçamento do próximo ciclo")),"Alta",IF(OR(K211&lt;=45,J211="Já existe verba aprovada para esse tema"),"Média","Baixa")))</f>
        <v/>
      </c>
      <c r="S211" s="17"/>
      <c r="T211" s="17"/>
      <c r="U211" s="17"/>
      <c r="V211" s="17"/>
      <c r="W211" s="17"/>
      <c r="X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6" t="str">
        <f aca="false">IF(K212="","",IF(AND(K212&lt;=45,OR(J212="Já existe verba aprovada para esse tema",J212="Entra no orçamento do próximo ciclo")),"Alta",IF(OR(K212&lt;=45,J212="Já existe verba aprovada para esse tema"),"Média","Baixa")))</f>
        <v/>
      </c>
      <c r="S212" s="17"/>
      <c r="T212" s="17"/>
      <c r="U212" s="17"/>
      <c r="V212" s="17"/>
      <c r="W212" s="17"/>
      <c r="X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6" t="str">
        <f aca="false">IF(K213="","",IF(AND(K213&lt;=45,OR(J213="Já existe verba aprovada para esse tema",J213="Entra no orçamento do próximo ciclo")),"Alta",IF(OR(K213&lt;=45,J213="Já existe verba aprovada para esse tema"),"Média","Baixa")))</f>
        <v/>
      </c>
      <c r="S213" s="17"/>
      <c r="T213" s="17"/>
      <c r="U213" s="17"/>
      <c r="V213" s="17"/>
      <c r="W213" s="17"/>
      <c r="X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6" t="str">
        <f aca="false">IF(K214="","",IF(AND(K214&lt;=45,OR(J214="Já existe verba aprovada para esse tema",J214="Entra no orçamento do próximo ciclo")),"Alta",IF(OR(K214&lt;=45,J214="Já existe verba aprovada para esse tema"),"Média","Baixa")))</f>
        <v/>
      </c>
      <c r="S214" s="17"/>
      <c r="T214" s="17"/>
      <c r="U214" s="17"/>
      <c r="V214" s="17"/>
      <c r="W214" s="17"/>
      <c r="X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6" t="str">
        <f aca="false">IF(K215="","",IF(AND(K215&lt;=45,OR(J215="Já existe verba aprovada para esse tema",J215="Entra no orçamento do próximo ciclo")),"Alta",IF(OR(K215&lt;=45,J215="Já existe verba aprovada para esse tema"),"Média","Baixa")))</f>
        <v/>
      </c>
      <c r="S215" s="17"/>
      <c r="T215" s="17"/>
      <c r="U215" s="17"/>
      <c r="V215" s="17"/>
      <c r="W215" s="17"/>
      <c r="X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6" t="str">
        <f aca="false">IF(K216="","",IF(AND(K216&lt;=45,OR(J216="Já existe verba aprovada para esse tema",J216="Entra no orçamento do próximo ciclo")),"Alta",IF(OR(K216&lt;=45,J216="Já existe verba aprovada para esse tema"),"Média","Baixa")))</f>
        <v/>
      </c>
      <c r="S216" s="17"/>
      <c r="T216" s="17"/>
      <c r="U216" s="17"/>
      <c r="V216" s="17"/>
      <c r="W216" s="17"/>
      <c r="X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6" t="str">
        <f aca="false">IF(K217="","",IF(AND(K217&lt;=45,OR(J217="Já existe verba aprovada para esse tema",J217="Entra no orçamento do próximo ciclo")),"Alta",IF(OR(K217&lt;=45,J217="Já existe verba aprovada para esse tema"),"Média","Baixa")))</f>
        <v/>
      </c>
      <c r="S217" s="17"/>
      <c r="T217" s="17"/>
      <c r="U217" s="17"/>
      <c r="V217" s="17"/>
      <c r="W217" s="17"/>
      <c r="X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6" t="str">
        <f aca="false">IF(K218="","",IF(AND(K218&lt;=45,OR(J218="Já existe verba aprovada para esse tema",J218="Entra no orçamento do próximo ciclo")),"Alta",IF(OR(K218&lt;=45,J218="Já existe verba aprovada para esse tema"),"Média","Baixa")))</f>
        <v/>
      </c>
      <c r="S218" s="17"/>
      <c r="T218" s="17"/>
      <c r="U218" s="17"/>
      <c r="V218" s="17"/>
      <c r="W218" s="17"/>
      <c r="X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6" t="str">
        <f aca="false">IF(K219="","",IF(AND(K219&lt;=45,OR(J219="Já existe verba aprovada para esse tema",J219="Entra no orçamento do próximo ciclo")),"Alta",IF(OR(K219&lt;=45,J219="Já existe verba aprovada para esse tema"),"Média","Baixa")))</f>
        <v/>
      </c>
      <c r="S219" s="17"/>
      <c r="T219" s="17"/>
      <c r="U219" s="17"/>
      <c r="V219" s="17"/>
      <c r="W219" s="17"/>
      <c r="X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6" t="str">
        <f aca="false">IF(K220="","",IF(AND(K220&lt;=45,OR(J220="Já existe verba aprovada para esse tema",J220="Entra no orçamento do próximo ciclo")),"Alta",IF(OR(K220&lt;=45,J220="Já existe verba aprovada para esse tema"),"Média","Baixa")))</f>
        <v/>
      </c>
      <c r="S220" s="17"/>
      <c r="T220" s="17"/>
      <c r="U220" s="17"/>
      <c r="V220" s="17"/>
      <c r="W220" s="17"/>
      <c r="X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6" t="str">
        <f aca="false">IF(K221="","",IF(AND(K221&lt;=45,OR(J221="Já existe verba aprovada para esse tema",J221="Entra no orçamento do próximo ciclo")),"Alta",IF(OR(K221&lt;=45,J221="Já existe verba aprovada para esse tema"),"Média","Baixa")))</f>
        <v/>
      </c>
      <c r="S221" s="17"/>
      <c r="T221" s="17"/>
      <c r="U221" s="17"/>
      <c r="V221" s="17"/>
      <c r="W221" s="17"/>
      <c r="X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6" t="str">
        <f aca="false">IF(K222="","",IF(AND(K222&lt;=45,OR(J222="Já existe verba aprovada para esse tema",J222="Entra no orçamento do próximo ciclo")),"Alta",IF(OR(K222&lt;=45,J222="Já existe verba aprovada para esse tema"),"Média","Baixa")))</f>
        <v/>
      </c>
      <c r="S222" s="17"/>
      <c r="T222" s="17"/>
      <c r="U222" s="17"/>
      <c r="V222" s="17"/>
      <c r="W222" s="17"/>
      <c r="X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6" t="str">
        <f aca="false">IF(K223="","",IF(AND(K223&lt;=45,OR(J223="Já existe verba aprovada para esse tema",J223="Entra no orçamento do próximo ciclo")),"Alta",IF(OR(K223&lt;=45,J223="Já existe verba aprovada para esse tema"),"Média","Baixa")))</f>
        <v/>
      </c>
      <c r="S223" s="17"/>
      <c r="T223" s="17"/>
      <c r="U223" s="17"/>
      <c r="V223" s="17"/>
      <c r="W223" s="17"/>
      <c r="X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6" t="str">
        <f aca="false">IF(K224="","",IF(AND(K224&lt;=45,OR(J224="Já existe verba aprovada para esse tema",J224="Entra no orçamento do próximo ciclo")),"Alta",IF(OR(K224&lt;=45,J224="Já existe verba aprovada para esse tema"),"Média","Baixa")))</f>
        <v/>
      </c>
      <c r="S224" s="17"/>
      <c r="T224" s="17"/>
      <c r="U224" s="17"/>
      <c r="V224" s="17"/>
      <c r="W224" s="17"/>
      <c r="X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6" t="str">
        <f aca="false">IF(K225="","",IF(AND(K225&lt;=45,OR(J225="Já existe verba aprovada para esse tema",J225="Entra no orçamento do próximo ciclo")),"Alta",IF(OR(K225&lt;=45,J225="Já existe verba aprovada para esse tema"),"Média","Baixa")))</f>
        <v/>
      </c>
      <c r="S225" s="17"/>
      <c r="T225" s="17"/>
      <c r="U225" s="17"/>
      <c r="V225" s="17"/>
      <c r="W225" s="17"/>
      <c r="X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6" t="str">
        <f aca="false">IF(K226="","",IF(AND(K226&lt;=45,OR(J226="Já existe verba aprovada para esse tema",J226="Entra no orçamento do próximo ciclo")),"Alta",IF(OR(K226&lt;=45,J226="Já existe verba aprovada para esse tema"),"Média","Baixa")))</f>
        <v/>
      </c>
      <c r="S226" s="17"/>
      <c r="T226" s="17"/>
      <c r="U226" s="17"/>
      <c r="V226" s="17"/>
      <c r="W226" s="17"/>
      <c r="X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6" t="str">
        <f aca="false">IF(K227="","",IF(AND(K227&lt;=45,OR(J227="Já existe verba aprovada para esse tema",J227="Entra no orçamento do próximo ciclo")),"Alta",IF(OR(K227&lt;=45,J227="Já existe verba aprovada para esse tema"),"Média","Baixa")))</f>
        <v/>
      </c>
      <c r="S227" s="17"/>
      <c r="T227" s="17"/>
      <c r="U227" s="17"/>
      <c r="V227" s="17"/>
      <c r="W227" s="17"/>
      <c r="X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6" t="str">
        <f aca="false">IF(K228="","",IF(AND(K228&lt;=45,OR(J228="Já existe verba aprovada para esse tema",J228="Entra no orçamento do próximo ciclo")),"Alta",IF(OR(K228&lt;=45,J228="Já existe verba aprovada para esse tema"),"Média","Baixa")))</f>
        <v/>
      </c>
      <c r="S228" s="17"/>
      <c r="T228" s="17"/>
      <c r="U228" s="17"/>
      <c r="V228" s="17"/>
      <c r="W228" s="17"/>
      <c r="X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6" t="str">
        <f aca="false">IF(K229="","",IF(AND(K229&lt;=45,OR(J229="Já existe verba aprovada para esse tema",J229="Entra no orçamento do próximo ciclo")),"Alta",IF(OR(K229&lt;=45,J229="Já existe verba aprovada para esse tema"),"Média","Baixa")))</f>
        <v/>
      </c>
      <c r="S229" s="17"/>
      <c r="T229" s="17"/>
      <c r="U229" s="17"/>
      <c r="V229" s="17"/>
      <c r="W229" s="17"/>
      <c r="X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6" t="str">
        <f aca="false">IF(K230="","",IF(AND(K230&lt;=45,OR(J230="Já existe verba aprovada para esse tema",J230="Entra no orçamento do próximo ciclo")),"Alta",IF(OR(K230&lt;=45,J230="Já existe verba aprovada para esse tema"),"Média","Baixa")))</f>
        <v/>
      </c>
      <c r="S230" s="17"/>
      <c r="T230" s="17"/>
      <c r="U230" s="17"/>
      <c r="V230" s="17"/>
      <c r="W230" s="17"/>
      <c r="X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6" t="str">
        <f aca="false">IF(K231="","",IF(AND(K231&lt;=45,OR(J231="Já existe verba aprovada para esse tema",J231="Entra no orçamento do próximo ciclo")),"Alta",IF(OR(K231&lt;=45,J231="Já existe verba aprovada para esse tema"),"Média","Baixa")))</f>
        <v/>
      </c>
      <c r="S231" s="17"/>
      <c r="T231" s="17"/>
      <c r="U231" s="17"/>
      <c r="V231" s="17"/>
      <c r="W231" s="17"/>
      <c r="X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6" t="str">
        <f aca="false">IF(K232="","",IF(AND(K232&lt;=45,OR(J232="Já existe verba aprovada para esse tema",J232="Entra no orçamento do próximo ciclo")),"Alta",IF(OR(K232&lt;=45,J232="Já existe verba aprovada para esse tema"),"Média","Baixa")))</f>
        <v/>
      </c>
      <c r="S232" s="17"/>
      <c r="T232" s="17"/>
      <c r="U232" s="17"/>
      <c r="V232" s="17"/>
      <c r="W232" s="17"/>
      <c r="X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6" t="str">
        <f aca="false">IF(K233="","",IF(AND(K233&lt;=45,OR(J233="Já existe verba aprovada para esse tema",J233="Entra no orçamento do próximo ciclo")),"Alta",IF(OR(K233&lt;=45,J233="Já existe verba aprovada para esse tema"),"Média","Baixa")))</f>
        <v/>
      </c>
      <c r="S233" s="17"/>
      <c r="T233" s="17"/>
      <c r="U233" s="17"/>
      <c r="V233" s="17"/>
      <c r="W233" s="17"/>
      <c r="X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6" t="str">
        <f aca="false">IF(K234="","",IF(AND(K234&lt;=45,OR(J234="Já existe verba aprovada para esse tema",J234="Entra no orçamento do próximo ciclo")),"Alta",IF(OR(K234&lt;=45,J234="Já existe verba aprovada para esse tema"),"Média","Baixa")))</f>
        <v/>
      </c>
      <c r="S234" s="17"/>
      <c r="T234" s="17"/>
      <c r="U234" s="17"/>
      <c r="V234" s="17"/>
      <c r="W234" s="17"/>
      <c r="X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6" t="str">
        <f aca="false">IF(K235="","",IF(AND(K235&lt;=45,OR(J235="Já existe verba aprovada para esse tema",J235="Entra no orçamento do próximo ciclo")),"Alta",IF(OR(K235&lt;=45,J235="Já existe verba aprovada para esse tema"),"Média","Baixa")))</f>
        <v/>
      </c>
      <c r="S235" s="17"/>
      <c r="T235" s="17"/>
      <c r="U235" s="17"/>
      <c r="V235" s="17"/>
      <c r="W235" s="17"/>
      <c r="X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6" t="str">
        <f aca="false">IF(K236="","",IF(AND(K236&lt;=45,OR(J236="Já existe verba aprovada para esse tema",J236="Entra no orçamento do próximo ciclo")),"Alta",IF(OR(K236&lt;=45,J236="Já existe verba aprovada para esse tema"),"Média","Baixa")))</f>
        <v/>
      </c>
      <c r="S236" s="17"/>
      <c r="T236" s="17"/>
      <c r="U236" s="17"/>
      <c r="V236" s="17"/>
      <c r="W236" s="17"/>
      <c r="X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6" t="str">
        <f aca="false">IF(K237="","",IF(AND(K237&lt;=45,OR(J237="Já existe verba aprovada para esse tema",J237="Entra no orçamento do próximo ciclo")),"Alta",IF(OR(K237&lt;=45,J237="Já existe verba aprovada para esse tema"),"Média","Baixa")))</f>
        <v/>
      </c>
      <c r="S237" s="17"/>
      <c r="T237" s="17"/>
      <c r="U237" s="17"/>
      <c r="V237" s="17"/>
      <c r="W237" s="17"/>
      <c r="X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6" t="str">
        <f aca="false">IF(K238="","",IF(AND(K238&lt;=45,OR(J238="Já existe verba aprovada para esse tema",J238="Entra no orçamento do próximo ciclo")),"Alta",IF(OR(K238&lt;=45,J238="Já existe verba aprovada para esse tema"),"Média","Baixa")))</f>
        <v/>
      </c>
      <c r="S238" s="17"/>
      <c r="T238" s="17"/>
      <c r="U238" s="17"/>
      <c r="V238" s="17"/>
      <c r="W238" s="17"/>
      <c r="X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6" t="str">
        <f aca="false">IF(K239="","",IF(AND(K239&lt;=45,OR(J239="Já existe verba aprovada para esse tema",J239="Entra no orçamento do próximo ciclo")),"Alta",IF(OR(K239&lt;=45,J239="Já existe verba aprovada para esse tema"),"Média","Baixa")))</f>
        <v/>
      </c>
      <c r="S239" s="17"/>
      <c r="T239" s="17"/>
      <c r="U239" s="17"/>
      <c r="V239" s="17"/>
      <c r="W239" s="17"/>
      <c r="X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6" t="str">
        <f aca="false">IF(K240="","",IF(AND(K240&lt;=45,OR(J240="Já existe verba aprovada para esse tema",J240="Entra no orçamento do próximo ciclo")),"Alta",IF(OR(K240&lt;=45,J240="Já existe verba aprovada para esse tema"),"Média","Baixa")))</f>
        <v/>
      </c>
      <c r="S240" s="17"/>
      <c r="T240" s="17"/>
      <c r="U240" s="17"/>
      <c r="V240" s="17"/>
      <c r="W240" s="17"/>
      <c r="X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6" t="str">
        <f aca="false">IF(K241="","",IF(AND(K241&lt;=45,OR(J241="Já existe verba aprovada para esse tema",J241="Entra no orçamento do próximo ciclo")),"Alta",IF(OR(K241&lt;=45,J241="Já existe verba aprovada para esse tema"),"Média","Baixa")))</f>
        <v/>
      </c>
      <c r="S241" s="17"/>
      <c r="T241" s="17"/>
      <c r="U241" s="17"/>
      <c r="V241" s="17"/>
      <c r="W241" s="17"/>
      <c r="X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6" t="str">
        <f aca="false">IF(K242="","",IF(AND(K242&lt;=45,OR(J242="Já existe verba aprovada para esse tema",J242="Entra no orçamento do próximo ciclo")),"Alta",IF(OR(K242&lt;=45,J242="Já existe verba aprovada para esse tema"),"Média","Baixa")))</f>
        <v/>
      </c>
      <c r="S242" s="17"/>
      <c r="T242" s="17"/>
      <c r="U242" s="17"/>
      <c r="V242" s="17"/>
      <c r="W242" s="17"/>
      <c r="X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6" t="str">
        <f aca="false">IF(K243="","",IF(AND(K243&lt;=45,OR(J243="Já existe verba aprovada para esse tema",J243="Entra no orçamento do próximo ciclo")),"Alta",IF(OR(K243&lt;=45,J243="Já existe verba aprovada para esse tema"),"Média","Baixa")))</f>
        <v/>
      </c>
      <c r="S243" s="17"/>
      <c r="T243" s="17"/>
      <c r="U243" s="17"/>
      <c r="V243" s="17"/>
      <c r="W243" s="17"/>
      <c r="X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6" t="str">
        <f aca="false">IF(K244="","",IF(AND(K244&lt;=45,OR(J244="Já existe verba aprovada para esse tema",J244="Entra no orçamento do próximo ciclo")),"Alta",IF(OR(K244&lt;=45,J244="Já existe verba aprovada para esse tema"),"Média","Baixa")))</f>
        <v/>
      </c>
      <c r="S244" s="17"/>
      <c r="T244" s="17"/>
      <c r="U244" s="17"/>
      <c r="V244" s="17"/>
      <c r="W244" s="17"/>
      <c r="X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6" t="str">
        <f aca="false">IF(K245="","",IF(AND(K245&lt;=45,OR(J245="Já existe verba aprovada para esse tema",J245="Entra no orçamento do próximo ciclo")),"Alta",IF(OR(K245&lt;=45,J245="Já existe verba aprovada para esse tema"),"Média","Baixa")))</f>
        <v/>
      </c>
      <c r="S245" s="17"/>
      <c r="T245" s="17"/>
      <c r="U245" s="17"/>
      <c r="V245" s="17"/>
      <c r="W245" s="17"/>
      <c r="X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6" t="str">
        <f aca="false">IF(K246="","",IF(AND(K246&lt;=45,OR(J246="Já existe verba aprovada para esse tema",J246="Entra no orçamento do próximo ciclo")),"Alta",IF(OR(K246&lt;=45,J246="Já existe verba aprovada para esse tema"),"Média","Baixa")))</f>
        <v/>
      </c>
      <c r="S246" s="17"/>
      <c r="T246" s="17"/>
      <c r="U246" s="17"/>
      <c r="V246" s="17"/>
      <c r="W246" s="17"/>
      <c r="X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6" t="str">
        <f aca="false">IF(K247="","",IF(AND(K247&lt;=45,OR(J247="Já existe verba aprovada para esse tema",J247="Entra no orçamento do próximo ciclo")),"Alta",IF(OR(K247&lt;=45,J247="Já existe verba aprovada para esse tema"),"Média","Baixa")))</f>
        <v/>
      </c>
      <c r="S247" s="17"/>
      <c r="T247" s="17"/>
      <c r="U247" s="17"/>
      <c r="V247" s="17"/>
      <c r="W247" s="17"/>
      <c r="X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6" t="str">
        <f aca="false">IF(K248="","",IF(AND(K248&lt;=45,OR(J248="Já existe verba aprovada para esse tema",J248="Entra no orçamento do próximo ciclo")),"Alta",IF(OR(K248&lt;=45,J248="Já existe verba aprovada para esse tema"),"Média","Baixa")))</f>
        <v/>
      </c>
      <c r="S248" s="17"/>
      <c r="T248" s="17"/>
      <c r="U248" s="17"/>
      <c r="V248" s="17"/>
      <c r="W248" s="17"/>
      <c r="X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6" t="str">
        <f aca="false">IF(K249="","",IF(AND(K249&lt;=45,OR(J249="Já existe verba aprovada para esse tema",J249="Entra no orçamento do próximo ciclo")),"Alta",IF(OR(K249&lt;=45,J249="Já existe verba aprovada para esse tema"),"Média","Baixa")))</f>
        <v/>
      </c>
      <c r="S249" s="17"/>
      <c r="T249" s="17"/>
      <c r="U249" s="17"/>
      <c r="V249" s="17"/>
      <c r="W249" s="17"/>
      <c r="X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6" t="str">
        <f aca="false">IF(K250="","",IF(AND(K250&lt;=45,OR(J250="Já existe verba aprovada para esse tema",J250="Entra no orçamento do próximo ciclo")),"Alta",IF(OR(K250&lt;=45,J250="Já existe verba aprovada para esse tema"),"Média","Baixa")))</f>
        <v/>
      </c>
      <c r="S250" s="17"/>
      <c r="T250" s="17"/>
      <c r="U250" s="17"/>
      <c r="V250" s="17"/>
      <c r="W250" s="17"/>
      <c r="X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6" t="str">
        <f aca="false">IF(K251="","",IF(AND(K251&lt;=45,OR(J251="Já existe verba aprovada para esse tema",J251="Entra no orçamento do próximo ciclo")),"Alta",IF(OR(K251&lt;=45,J251="Já existe verba aprovada para esse tema"),"Média","Baixa")))</f>
        <v/>
      </c>
      <c r="S251" s="17"/>
      <c r="T251" s="17"/>
      <c r="U251" s="17"/>
      <c r="V251" s="17"/>
      <c r="W251" s="17"/>
      <c r="X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6" t="str">
        <f aca="false">IF(K252="","",IF(AND(K252&lt;=45,OR(J252="Já existe verba aprovada para esse tema",J252="Entra no orçamento do próximo ciclo")),"Alta",IF(OR(K252&lt;=45,J252="Já existe verba aprovada para esse tema"),"Média","Baixa")))</f>
        <v/>
      </c>
      <c r="S252" s="17"/>
      <c r="T252" s="17"/>
      <c r="U252" s="17"/>
      <c r="V252" s="17"/>
      <c r="W252" s="17"/>
      <c r="X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6" t="str">
        <f aca="false">IF(K253="","",IF(AND(K253&lt;=45,OR(J253="Já existe verba aprovada para esse tema",J253="Entra no orçamento do próximo ciclo")),"Alta",IF(OR(K253&lt;=45,J253="Já existe verba aprovada para esse tema"),"Média","Baixa")))</f>
        <v/>
      </c>
      <c r="S253" s="17"/>
      <c r="T253" s="17"/>
      <c r="U253" s="17"/>
      <c r="V253" s="17"/>
      <c r="W253" s="17"/>
      <c r="X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6" t="str">
        <f aca="false">IF(K254="","",IF(AND(K254&lt;=45,OR(J254="Já existe verba aprovada para esse tema",J254="Entra no orçamento do próximo ciclo")),"Alta",IF(OR(K254&lt;=45,J254="Já existe verba aprovada para esse tema"),"Média","Baixa")))</f>
        <v/>
      </c>
      <c r="S254" s="17"/>
      <c r="T254" s="17"/>
      <c r="U254" s="17"/>
      <c r="V254" s="17"/>
      <c r="W254" s="17"/>
      <c r="X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6" t="str">
        <f aca="false">IF(K255="","",IF(AND(K255&lt;=45,OR(J255="Já existe verba aprovada para esse tema",J255="Entra no orçamento do próximo ciclo")),"Alta",IF(OR(K255&lt;=45,J255="Já existe verba aprovada para esse tema"),"Média","Baixa")))</f>
        <v/>
      </c>
      <c r="S255" s="17"/>
      <c r="T255" s="17"/>
      <c r="U255" s="17"/>
      <c r="V255" s="17"/>
      <c r="W255" s="17"/>
      <c r="X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6" t="str">
        <f aca="false">IF(K256="","",IF(AND(K256&lt;=45,OR(J256="Já existe verba aprovada para esse tema",J256="Entra no orçamento do próximo ciclo")),"Alta",IF(OR(K256&lt;=45,J256="Já existe verba aprovada para esse tema"),"Média","Baixa")))</f>
        <v/>
      </c>
      <c r="S256" s="17"/>
      <c r="T256" s="17"/>
      <c r="U256" s="17"/>
      <c r="V256" s="17"/>
      <c r="W256" s="17"/>
      <c r="X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6" t="str">
        <f aca="false">IF(K257="","",IF(AND(K257&lt;=45,OR(J257="Já existe verba aprovada para esse tema",J257="Entra no orçamento do próximo ciclo")),"Alta",IF(OR(K257&lt;=45,J257="Já existe verba aprovada para esse tema"),"Média","Baixa")))</f>
        <v/>
      </c>
      <c r="S257" s="17"/>
      <c r="T257" s="17"/>
      <c r="U257" s="17"/>
      <c r="V257" s="17"/>
      <c r="W257" s="17"/>
      <c r="X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6" t="str">
        <f aca="false">IF(K258="","",IF(AND(K258&lt;=45,OR(J258="Já existe verba aprovada para esse tema",J258="Entra no orçamento do próximo ciclo")),"Alta",IF(OR(K258&lt;=45,J258="Já existe verba aprovada para esse tema"),"Média","Baixa")))</f>
        <v/>
      </c>
      <c r="S258" s="17"/>
      <c r="T258" s="17"/>
      <c r="U258" s="17"/>
      <c r="V258" s="17"/>
      <c r="W258" s="17"/>
      <c r="X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6" t="str">
        <f aca="false">IF(K259="","",IF(AND(K259&lt;=45,OR(J259="Já existe verba aprovada para esse tema",J259="Entra no orçamento do próximo ciclo")),"Alta",IF(OR(K259&lt;=45,J259="Já existe verba aprovada para esse tema"),"Média","Baixa")))</f>
        <v/>
      </c>
      <c r="S259" s="17"/>
      <c r="T259" s="17"/>
      <c r="U259" s="17"/>
      <c r="V259" s="17"/>
      <c r="W259" s="17"/>
      <c r="X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6" t="str">
        <f aca="false">IF(K260="","",IF(AND(K260&lt;=45,OR(J260="Já existe verba aprovada para esse tema",J260="Entra no orçamento do próximo ciclo")),"Alta",IF(OR(K260&lt;=45,J260="Já existe verba aprovada para esse tema"),"Média","Baixa")))</f>
        <v/>
      </c>
      <c r="S260" s="17"/>
      <c r="T260" s="17"/>
      <c r="U260" s="17"/>
      <c r="V260" s="17"/>
      <c r="W260" s="17"/>
      <c r="X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6" t="str">
        <f aca="false">IF(K261="","",IF(AND(K261&lt;=45,OR(J261="Já existe verba aprovada para esse tema",J261="Entra no orçamento do próximo ciclo")),"Alta",IF(OR(K261&lt;=45,J261="Já existe verba aprovada para esse tema"),"Média","Baixa")))</f>
        <v/>
      </c>
      <c r="S261" s="17"/>
      <c r="T261" s="17"/>
      <c r="U261" s="17"/>
      <c r="V261" s="17"/>
      <c r="W261" s="17"/>
      <c r="X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6" t="str">
        <f aca="false">IF(K262="","",IF(AND(K262&lt;=45,OR(J262="Já existe verba aprovada para esse tema",J262="Entra no orçamento do próximo ciclo")),"Alta",IF(OR(K262&lt;=45,J262="Já existe verba aprovada para esse tema"),"Média","Baixa")))</f>
        <v/>
      </c>
      <c r="S262" s="17"/>
      <c r="T262" s="17"/>
      <c r="U262" s="17"/>
      <c r="V262" s="17"/>
      <c r="W262" s="17"/>
      <c r="X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6" t="str">
        <f aca="false">IF(K263="","",IF(AND(K263&lt;=45,OR(J263="Já existe verba aprovada para esse tema",J263="Entra no orçamento do próximo ciclo")),"Alta",IF(OR(K263&lt;=45,J263="Já existe verba aprovada para esse tema"),"Média","Baixa")))</f>
        <v/>
      </c>
      <c r="S263" s="17"/>
      <c r="T263" s="17"/>
      <c r="U263" s="17"/>
      <c r="V263" s="17"/>
      <c r="W263" s="17"/>
      <c r="X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6" t="str">
        <f aca="false">IF(K264="","",IF(AND(K264&lt;=45,OR(J264="Já existe verba aprovada para esse tema",J264="Entra no orçamento do próximo ciclo")),"Alta",IF(OR(K264&lt;=45,J264="Já existe verba aprovada para esse tema"),"Média","Baixa")))</f>
        <v/>
      </c>
      <c r="S264" s="17"/>
      <c r="T264" s="17"/>
      <c r="U264" s="17"/>
      <c r="V264" s="17"/>
      <c r="W264" s="17"/>
      <c r="X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6" t="str">
        <f aca="false">IF(K265="","",IF(AND(K265&lt;=45,OR(J265="Já existe verba aprovada para esse tema",J265="Entra no orçamento do próximo ciclo")),"Alta",IF(OR(K265&lt;=45,J265="Já existe verba aprovada para esse tema"),"Média","Baixa")))</f>
        <v/>
      </c>
      <c r="S265" s="17"/>
      <c r="T265" s="17"/>
      <c r="U265" s="17"/>
      <c r="V265" s="17"/>
      <c r="W265" s="17"/>
      <c r="X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6" t="str">
        <f aca="false">IF(K266="","",IF(AND(K266&lt;=45,OR(J266="Já existe verba aprovada para esse tema",J266="Entra no orçamento do próximo ciclo")),"Alta",IF(OR(K266&lt;=45,J266="Já existe verba aprovada para esse tema"),"Média","Baixa")))</f>
        <v/>
      </c>
      <c r="S266" s="17"/>
      <c r="T266" s="17"/>
      <c r="U266" s="17"/>
      <c r="V266" s="17"/>
      <c r="W266" s="17"/>
      <c r="X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6" t="str">
        <f aca="false">IF(K267="","",IF(AND(K267&lt;=45,OR(J267="Já existe verba aprovada para esse tema",J267="Entra no orçamento do próximo ciclo")),"Alta",IF(OR(K267&lt;=45,J267="Já existe verba aprovada para esse tema"),"Média","Baixa")))</f>
        <v/>
      </c>
      <c r="S267" s="17"/>
      <c r="T267" s="17"/>
      <c r="U267" s="17"/>
      <c r="V267" s="17"/>
      <c r="W267" s="17"/>
      <c r="X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6" t="str">
        <f aca="false">IF(K268="","",IF(AND(K268&lt;=45,OR(J268="Já existe verba aprovada para esse tema",J268="Entra no orçamento do próximo ciclo")),"Alta",IF(OR(K268&lt;=45,J268="Já existe verba aprovada para esse tema"),"Média","Baixa")))</f>
        <v/>
      </c>
      <c r="S268" s="17"/>
      <c r="T268" s="17"/>
      <c r="U268" s="17"/>
      <c r="V268" s="17"/>
      <c r="W268" s="17"/>
      <c r="X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6" t="str">
        <f aca="false">IF(K269="","",IF(AND(K269&lt;=45,OR(J269="Já existe verba aprovada para esse tema",J269="Entra no orçamento do próximo ciclo")),"Alta",IF(OR(K269&lt;=45,J269="Já existe verba aprovada para esse tema"),"Média","Baixa")))</f>
        <v/>
      </c>
      <c r="S269" s="17"/>
      <c r="T269" s="17"/>
      <c r="U269" s="17"/>
      <c r="V269" s="17"/>
      <c r="W269" s="17"/>
      <c r="X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6" t="str">
        <f aca="false">IF(K270="","",IF(AND(K270&lt;=45,OR(J270="Já existe verba aprovada para esse tema",J270="Entra no orçamento do próximo ciclo")),"Alta",IF(OR(K270&lt;=45,J270="Já existe verba aprovada para esse tema"),"Média","Baixa")))</f>
        <v/>
      </c>
      <c r="S270" s="17"/>
      <c r="T270" s="17"/>
      <c r="U270" s="17"/>
      <c r="V270" s="17"/>
      <c r="W270" s="17"/>
      <c r="X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6" t="str">
        <f aca="false">IF(K271="","",IF(AND(K271&lt;=45,OR(J271="Já existe verba aprovada para esse tema",J271="Entra no orçamento do próximo ciclo")),"Alta",IF(OR(K271&lt;=45,J271="Já existe verba aprovada para esse tema"),"Média","Baixa")))</f>
        <v/>
      </c>
      <c r="S271" s="17"/>
      <c r="T271" s="17"/>
      <c r="U271" s="17"/>
      <c r="V271" s="17"/>
      <c r="W271" s="17"/>
      <c r="X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6" t="str">
        <f aca="false">IF(K272="","",IF(AND(K272&lt;=45,OR(J272="Já existe verba aprovada para esse tema",J272="Entra no orçamento do próximo ciclo")),"Alta",IF(OR(K272&lt;=45,J272="Já existe verba aprovada para esse tema"),"Média","Baixa")))</f>
        <v/>
      </c>
      <c r="S272" s="17"/>
      <c r="T272" s="17"/>
      <c r="U272" s="17"/>
      <c r="V272" s="17"/>
      <c r="W272" s="17"/>
      <c r="X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6" t="str">
        <f aca="false">IF(K273="","",IF(AND(K273&lt;=45,OR(J273="Já existe verba aprovada para esse tema",J273="Entra no orçamento do próximo ciclo")),"Alta",IF(OR(K273&lt;=45,J273="Já existe verba aprovada para esse tema"),"Média","Baixa")))</f>
        <v/>
      </c>
      <c r="S273" s="17"/>
      <c r="T273" s="17"/>
      <c r="U273" s="17"/>
      <c r="V273" s="17"/>
      <c r="W273" s="17"/>
      <c r="X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6" t="str">
        <f aca="false">IF(K274="","",IF(AND(K274&lt;=45,OR(J274="Já existe verba aprovada para esse tema",J274="Entra no orçamento do próximo ciclo")),"Alta",IF(OR(K274&lt;=45,J274="Já existe verba aprovada para esse tema"),"Média","Baixa")))</f>
        <v/>
      </c>
      <c r="S274" s="17"/>
      <c r="T274" s="17"/>
      <c r="U274" s="17"/>
      <c r="V274" s="17"/>
      <c r="W274" s="17"/>
      <c r="X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6" t="str">
        <f aca="false">IF(K275="","",IF(AND(K275&lt;=45,OR(J275="Já existe verba aprovada para esse tema",J275="Entra no orçamento do próximo ciclo")),"Alta",IF(OR(K275&lt;=45,J275="Já existe verba aprovada para esse tema"),"Média","Baixa")))</f>
        <v/>
      </c>
      <c r="S275" s="17"/>
      <c r="T275" s="17"/>
      <c r="U275" s="17"/>
      <c r="V275" s="17"/>
      <c r="W275" s="17"/>
      <c r="X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6" t="str">
        <f aca="false">IF(K276="","",IF(AND(K276&lt;=45,OR(J276="Já existe verba aprovada para esse tema",J276="Entra no orçamento do próximo ciclo")),"Alta",IF(OR(K276&lt;=45,J276="Já existe verba aprovada para esse tema"),"Média","Baixa")))</f>
        <v/>
      </c>
      <c r="S276" s="17"/>
      <c r="T276" s="17"/>
      <c r="U276" s="17"/>
      <c r="V276" s="17"/>
      <c r="W276" s="17"/>
      <c r="X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6" t="str">
        <f aca="false">IF(K277="","",IF(AND(K277&lt;=45,OR(J277="Já existe verba aprovada para esse tema",J277="Entra no orçamento do próximo ciclo")),"Alta",IF(OR(K277&lt;=45,J277="Já existe verba aprovada para esse tema"),"Média","Baixa")))</f>
        <v/>
      </c>
      <c r="S277" s="17"/>
      <c r="T277" s="17"/>
      <c r="U277" s="17"/>
      <c r="V277" s="17"/>
      <c r="W277" s="17"/>
      <c r="X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6" t="str">
        <f aca="false">IF(K278="","",IF(AND(K278&lt;=45,OR(J278="Já existe verba aprovada para esse tema",J278="Entra no orçamento do próximo ciclo")),"Alta",IF(OR(K278&lt;=45,J278="Já existe verba aprovada para esse tema"),"Média","Baixa")))</f>
        <v/>
      </c>
      <c r="S278" s="17"/>
      <c r="T278" s="17"/>
      <c r="U278" s="17"/>
      <c r="V278" s="17"/>
      <c r="W278" s="17"/>
      <c r="X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6" t="str">
        <f aca="false">IF(K279="","",IF(AND(K279&lt;=45,OR(J279="Já existe verba aprovada para esse tema",J279="Entra no orçamento do próximo ciclo")),"Alta",IF(OR(K279&lt;=45,J279="Já existe verba aprovada para esse tema"),"Média","Baixa")))</f>
        <v/>
      </c>
      <c r="S279" s="17"/>
      <c r="T279" s="17"/>
      <c r="U279" s="17"/>
      <c r="V279" s="17"/>
      <c r="W279" s="17"/>
      <c r="X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6" t="str">
        <f aca="false">IF(K280="","",IF(AND(K280&lt;=45,OR(J280="Já existe verba aprovada para esse tema",J280="Entra no orçamento do próximo ciclo")),"Alta",IF(OR(K280&lt;=45,J280="Já existe verba aprovada para esse tema"),"Média","Baixa")))</f>
        <v/>
      </c>
      <c r="S280" s="17"/>
      <c r="T280" s="17"/>
      <c r="U280" s="17"/>
      <c r="V280" s="17"/>
      <c r="W280" s="17"/>
      <c r="X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6" t="str">
        <f aca="false">IF(K281="","",IF(AND(K281&lt;=45,OR(J281="Já existe verba aprovada para esse tema",J281="Entra no orçamento do próximo ciclo")),"Alta",IF(OR(K281&lt;=45,J281="Já existe verba aprovada para esse tema"),"Média","Baixa")))</f>
        <v/>
      </c>
      <c r="S281" s="17"/>
      <c r="T281" s="17"/>
      <c r="U281" s="17"/>
      <c r="V281" s="17"/>
      <c r="W281" s="17"/>
      <c r="X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6" t="str">
        <f aca="false">IF(K282="","",IF(AND(K282&lt;=45,OR(J282="Já existe verba aprovada para esse tema",J282="Entra no orçamento do próximo ciclo")),"Alta",IF(OR(K282&lt;=45,J282="Já existe verba aprovada para esse tema"),"Média","Baixa")))</f>
        <v/>
      </c>
      <c r="S282" s="17"/>
      <c r="T282" s="17"/>
      <c r="U282" s="17"/>
      <c r="V282" s="17"/>
      <c r="W282" s="17"/>
      <c r="X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6" t="str">
        <f aca="false">IF(K283="","",IF(AND(K283&lt;=45,OR(J283="Já existe verba aprovada para esse tema",J283="Entra no orçamento do próximo ciclo")),"Alta",IF(OR(K283&lt;=45,J283="Já existe verba aprovada para esse tema"),"Média","Baixa")))</f>
        <v/>
      </c>
      <c r="S283" s="17"/>
      <c r="T283" s="17"/>
      <c r="U283" s="17"/>
      <c r="V283" s="17"/>
      <c r="W283" s="17"/>
      <c r="X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6" t="str">
        <f aca="false">IF(K284="","",IF(AND(K284&lt;=45,OR(J284="Já existe verba aprovada para esse tema",J284="Entra no orçamento do próximo ciclo")),"Alta",IF(OR(K284&lt;=45,J284="Já existe verba aprovada para esse tema"),"Média","Baixa")))</f>
        <v/>
      </c>
      <c r="S284" s="17"/>
      <c r="T284" s="17"/>
      <c r="U284" s="17"/>
      <c r="V284" s="17"/>
      <c r="W284" s="17"/>
      <c r="X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6" t="str">
        <f aca="false">IF(K285="","",IF(AND(K285&lt;=45,OR(J285="Já existe verba aprovada para esse tema",J285="Entra no orçamento do próximo ciclo")),"Alta",IF(OR(K285&lt;=45,J285="Já existe verba aprovada para esse tema"),"Média","Baixa")))</f>
        <v/>
      </c>
      <c r="S285" s="17"/>
      <c r="T285" s="17"/>
      <c r="U285" s="17"/>
      <c r="V285" s="17"/>
      <c r="W285" s="17"/>
      <c r="X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6" t="str">
        <f aca="false">IF(K286="","",IF(AND(K286&lt;=45,OR(J286="Já existe verba aprovada para esse tema",J286="Entra no orçamento do próximo ciclo")),"Alta",IF(OR(K286&lt;=45,J286="Já existe verba aprovada para esse tema"),"Média","Baixa")))</f>
        <v/>
      </c>
      <c r="S286" s="17"/>
      <c r="T286" s="17"/>
      <c r="U286" s="17"/>
      <c r="V286" s="17"/>
      <c r="W286" s="17"/>
      <c r="X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6" t="str">
        <f aca="false">IF(K287="","",IF(AND(K287&lt;=45,OR(J287="Já existe verba aprovada para esse tema",J287="Entra no orçamento do próximo ciclo")),"Alta",IF(OR(K287&lt;=45,J287="Já existe verba aprovada para esse tema"),"Média","Baixa")))</f>
        <v/>
      </c>
      <c r="S287" s="17"/>
      <c r="T287" s="17"/>
      <c r="U287" s="17"/>
      <c r="V287" s="17"/>
      <c r="W287" s="17"/>
      <c r="X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6" t="str">
        <f aca="false">IF(K288="","",IF(AND(K288&lt;=45,OR(J288="Já existe verba aprovada para esse tema",J288="Entra no orçamento do próximo ciclo")),"Alta",IF(OR(K288&lt;=45,J288="Já existe verba aprovada para esse tema"),"Média","Baixa")))</f>
        <v/>
      </c>
      <c r="S288" s="17"/>
      <c r="T288" s="17"/>
      <c r="U288" s="17"/>
      <c r="V288" s="17"/>
      <c r="W288" s="17"/>
      <c r="X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6" t="str">
        <f aca="false">IF(K289="","",IF(AND(K289&lt;=45,OR(J289="Já existe verba aprovada para esse tema",J289="Entra no orçamento do próximo ciclo")),"Alta",IF(OR(K289&lt;=45,J289="Já existe verba aprovada para esse tema"),"Média","Baixa")))</f>
        <v/>
      </c>
      <c r="S289" s="17"/>
      <c r="T289" s="17"/>
      <c r="U289" s="17"/>
      <c r="V289" s="17"/>
      <c r="W289" s="17"/>
      <c r="X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6" t="str">
        <f aca="false">IF(K290="","",IF(AND(K290&lt;=45,OR(J290="Já existe verba aprovada para esse tema",J290="Entra no orçamento do próximo ciclo")),"Alta",IF(OR(K290&lt;=45,J290="Já existe verba aprovada para esse tema"),"Média","Baixa")))</f>
        <v/>
      </c>
      <c r="S290" s="17"/>
      <c r="T290" s="17"/>
      <c r="U290" s="17"/>
      <c r="V290" s="17"/>
      <c r="W290" s="17"/>
      <c r="X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6" t="str">
        <f aca="false">IF(K291="","",IF(AND(K291&lt;=45,OR(J291="Já existe verba aprovada para esse tema",J291="Entra no orçamento do próximo ciclo")),"Alta",IF(OR(K291&lt;=45,J291="Já existe verba aprovada para esse tema"),"Média","Baixa")))</f>
        <v/>
      </c>
      <c r="S291" s="17"/>
      <c r="T291" s="17"/>
      <c r="U291" s="17"/>
      <c r="V291" s="17"/>
      <c r="W291" s="17"/>
      <c r="X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6" t="str">
        <f aca="false">IF(K292="","",IF(AND(K292&lt;=45,OR(J292="Já existe verba aprovada para esse tema",J292="Entra no orçamento do próximo ciclo")),"Alta",IF(OR(K292&lt;=45,J292="Já existe verba aprovada para esse tema"),"Média","Baixa")))</f>
        <v/>
      </c>
      <c r="S292" s="17"/>
      <c r="T292" s="17"/>
      <c r="U292" s="17"/>
      <c r="V292" s="17"/>
      <c r="W292" s="17"/>
      <c r="X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6" t="str">
        <f aca="false">IF(K293="","",IF(AND(K293&lt;=45,OR(J293="Já existe verba aprovada para esse tema",J293="Entra no orçamento do próximo ciclo")),"Alta",IF(OR(K293&lt;=45,J293="Já existe verba aprovada para esse tema"),"Média","Baixa")))</f>
        <v/>
      </c>
      <c r="S293" s="17"/>
      <c r="T293" s="17"/>
      <c r="U293" s="17"/>
      <c r="V293" s="17"/>
      <c r="W293" s="17"/>
      <c r="X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6" t="str">
        <f aca="false">IF(K294="","",IF(AND(K294&lt;=45,OR(J294="Já existe verba aprovada para esse tema",J294="Entra no orçamento do próximo ciclo")),"Alta",IF(OR(K294&lt;=45,J294="Já existe verba aprovada para esse tema"),"Média","Baixa")))</f>
        <v/>
      </c>
      <c r="S294" s="17"/>
      <c r="T294" s="17"/>
      <c r="U294" s="17"/>
      <c r="V294" s="17"/>
      <c r="W294" s="17"/>
      <c r="X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6" t="str">
        <f aca="false">IF(K295="","",IF(AND(K295&lt;=45,OR(J295="Já existe verba aprovada para esse tema",J295="Entra no orçamento do próximo ciclo")),"Alta",IF(OR(K295&lt;=45,J295="Já existe verba aprovada para esse tema"),"Média","Baixa")))</f>
        <v/>
      </c>
      <c r="S295" s="17"/>
      <c r="T295" s="17"/>
      <c r="U295" s="17"/>
      <c r="V295" s="17"/>
      <c r="W295" s="17"/>
      <c r="X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6" t="str">
        <f aca="false">IF(K296="","",IF(AND(K296&lt;=45,OR(J296="Já existe verba aprovada para esse tema",J296="Entra no orçamento do próximo ciclo")),"Alta",IF(OR(K296&lt;=45,J296="Já existe verba aprovada para esse tema"),"Média","Baixa")))</f>
        <v/>
      </c>
      <c r="S296" s="17"/>
      <c r="T296" s="17"/>
      <c r="U296" s="17"/>
      <c r="V296" s="17"/>
      <c r="W296" s="17"/>
      <c r="X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6" t="str">
        <f aca="false">IF(K297="","",IF(AND(K297&lt;=45,OR(J297="Já existe verba aprovada para esse tema",J297="Entra no orçamento do próximo ciclo")),"Alta",IF(OR(K297&lt;=45,J297="Já existe verba aprovada para esse tema"),"Média","Baixa")))</f>
        <v/>
      </c>
      <c r="S297" s="17"/>
      <c r="T297" s="17"/>
      <c r="U297" s="17"/>
      <c r="V297" s="17"/>
      <c r="W297" s="17"/>
      <c r="X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6" t="str">
        <f aca="false">IF(K298="","",IF(AND(K298&lt;=45,OR(J298="Já existe verba aprovada para esse tema",J298="Entra no orçamento do próximo ciclo")),"Alta",IF(OR(K298&lt;=45,J298="Já existe verba aprovada para esse tema"),"Média","Baixa")))</f>
        <v/>
      </c>
      <c r="S298" s="17"/>
      <c r="T298" s="17"/>
      <c r="U298" s="17"/>
      <c r="V298" s="17"/>
      <c r="W298" s="17"/>
      <c r="X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6" t="str">
        <f aca="false">IF(K299="","",IF(AND(K299&lt;=45,OR(J299="Já existe verba aprovada para esse tema",J299="Entra no orçamento do próximo ciclo")),"Alta",IF(OR(K299&lt;=45,J299="Já existe verba aprovada para esse tema"),"Média","Baixa")))</f>
        <v/>
      </c>
      <c r="S299" s="17"/>
      <c r="T299" s="17"/>
      <c r="U299" s="17"/>
      <c r="V299" s="17"/>
      <c r="W299" s="17"/>
      <c r="X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6" t="str">
        <f aca="false">IF(K300="","",IF(AND(K300&lt;=45,OR(J300="Já existe verba aprovada para esse tema",J300="Entra no orçamento do próximo ciclo")),"Alta",IF(OR(K300&lt;=45,J300="Já existe verba aprovada para esse tema"),"Média","Baixa")))</f>
        <v/>
      </c>
      <c r="S300" s="17"/>
      <c r="T300" s="17"/>
      <c r="U300" s="17"/>
      <c r="V300" s="17"/>
      <c r="W300" s="17"/>
      <c r="X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6" t="str">
        <f aca="false">IF(K301="","",IF(AND(K301&lt;=45,OR(J301="Já existe verba aprovada para esse tema",J301="Entra no orçamento do próximo ciclo")),"Alta",IF(OR(K301&lt;=45,J301="Já existe verba aprovada para esse tema"),"Média","Baixa")))</f>
        <v/>
      </c>
      <c r="S301" s="17"/>
      <c r="T301" s="17"/>
      <c r="U301" s="17"/>
      <c r="V301" s="17"/>
      <c r="W301" s="17"/>
      <c r="X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6" t="str">
        <f aca="false">IF(K302="","",IF(AND(K302&lt;=45,OR(J302="Já existe verba aprovada para esse tema",J302="Entra no orçamento do próximo ciclo")),"Alta",IF(OR(K302&lt;=45,J302="Já existe verba aprovada para esse tema"),"Média","Baixa")))</f>
        <v/>
      </c>
      <c r="S302" s="17"/>
      <c r="T302" s="17"/>
      <c r="U302" s="17"/>
      <c r="V302" s="17"/>
      <c r="W302" s="17"/>
      <c r="X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6" t="str">
        <f aca="false">IF(K303="","",IF(AND(K303&lt;=45,OR(J303="Já existe verba aprovada para esse tema",J303="Entra no orçamento do próximo ciclo")),"Alta",IF(OR(K303&lt;=45,J303="Já existe verba aprovada para esse tema"),"Média","Baixa")))</f>
        <v/>
      </c>
      <c r="S303" s="17"/>
      <c r="T303" s="17"/>
      <c r="U303" s="17"/>
      <c r="V303" s="17"/>
      <c r="W303" s="17"/>
      <c r="X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6" t="str">
        <f aca="false">IF(K304="","",IF(AND(K304&lt;=45,OR(J304="Já existe verba aprovada para esse tema",J304="Entra no orçamento do próximo ciclo")),"Alta",IF(OR(K304&lt;=45,J304="Já existe verba aprovada para esse tema"),"Média","Baixa")))</f>
        <v/>
      </c>
      <c r="S304" s="17"/>
      <c r="T304" s="17"/>
      <c r="U304" s="17"/>
      <c r="V304" s="17"/>
      <c r="W304" s="17"/>
      <c r="X304" s="17"/>
    </row>
    <row r="305" customFormat="false" ht="15" hidden="false" customHeight="fals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6" t="str">
        <f aca="false">IF(K305="","",IF(AND(K305&lt;=45,OR(J305="Já existe verba aprovada para esse tema",J305="Entra no orçamento do próximo ciclo")),"Alta",IF(OR(K305&lt;=45,J305="Já existe verba aprovada para esse tema"),"Média","Baixa")))</f>
        <v/>
      </c>
      <c r="S305" s="17"/>
      <c r="T305" s="17"/>
      <c r="U305" s="17"/>
      <c r="V305" s="17"/>
      <c r="W305" s="17"/>
      <c r="X305" s="17"/>
    </row>
    <row r="306" customFormat="false" ht="15" hidden="false" customHeight="fals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6" t="str">
        <f aca="false">IF(K306="","",IF(AND(K306&lt;=45,OR(J306="Já existe verba aprovada para esse tema",J306="Entra no orçamento do próximo ciclo")),"Alta",IF(OR(K306&lt;=45,J306="Já existe verba aprovada para esse tema"),"Média","Baixa")))</f>
        <v/>
      </c>
      <c r="S306" s="17"/>
      <c r="T306" s="17"/>
      <c r="U306" s="17"/>
      <c r="V306" s="17"/>
      <c r="W306" s="17"/>
      <c r="X306" s="17"/>
    </row>
    <row r="307" customFormat="false" ht="15" hidden="false" customHeight="fals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6" t="str">
        <f aca="false">IF(K307="","",IF(AND(K307&lt;=45,OR(J307="Já existe verba aprovada para esse tema",J307="Entra no orçamento do próximo ciclo")),"Alta",IF(OR(K307&lt;=45,J307="Já existe verba aprovada para esse tema"),"Média","Baixa")))</f>
        <v/>
      </c>
      <c r="S307" s="17"/>
      <c r="T307" s="17"/>
      <c r="U307" s="17"/>
      <c r="V307" s="17"/>
      <c r="W307" s="17"/>
      <c r="X307" s="17"/>
    </row>
    <row r="308" customFormat="false" ht="15" hidden="false" customHeight="fals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6" t="str">
        <f aca="false">IF(K308="","",IF(AND(K308&lt;=45,OR(J308="Já existe verba aprovada para esse tema",J308="Entra no orçamento do próximo ciclo")),"Alta",IF(OR(K308&lt;=45,J308="Já existe verba aprovada para esse tema"),"Média","Baixa")))</f>
        <v/>
      </c>
      <c r="S308" s="17"/>
      <c r="T308" s="17"/>
      <c r="U308" s="17"/>
      <c r="V308" s="17"/>
      <c r="W308" s="17"/>
      <c r="X308" s="17"/>
    </row>
    <row r="309" customFormat="false" ht="15" hidden="false" customHeight="fals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6" t="str">
        <f aca="false">IF(K309="","",IF(AND(K309&lt;=45,OR(J309="Já existe verba aprovada para esse tema",J309="Entra no orçamento do próximo ciclo")),"Alta",IF(OR(K309&lt;=45,J309="Já existe verba aprovada para esse tema"),"Média","Baixa")))</f>
        <v/>
      </c>
      <c r="S309" s="17"/>
      <c r="T309" s="17"/>
      <c r="U309" s="17"/>
      <c r="V309" s="17"/>
      <c r="W309" s="17"/>
      <c r="X309" s="17"/>
    </row>
    <row r="310" customFormat="false" ht="15" hidden="false" customHeight="fals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6" t="str">
        <f aca="false">IF(K310="","",IF(AND(K310&lt;=45,OR(J310="Já existe verba aprovada para esse tema",J310="Entra no orçamento do próximo ciclo")),"Alta",IF(OR(K310&lt;=45,J310="Já existe verba aprovada para esse tema"),"Média","Baixa")))</f>
        <v/>
      </c>
      <c r="S310" s="17"/>
      <c r="T310" s="17"/>
      <c r="U310" s="17"/>
      <c r="V310" s="17"/>
      <c r="W310" s="17"/>
      <c r="X310" s="17"/>
    </row>
    <row r="311" customFormat="false" ht="15" hidden="false" customHeight="fals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6" t="str">
        <f aca="false">IF(K311="","",IF(AND(K311&lt;=45,OR(J311="Já existe verba aprovada para esse tema",J311="Entra no orçamento do próximo ciclo")),"Alta",IF(OR(K311&lt;=45,J311="Já existe verba aprovada para esse tema"),"Média","Baixa")))</f>
        <v/>
      </c>
      <c r="S311" s="17"/>
      <c r="T311" s="17"/>
      <c r="U311" s="17"/>
      <c r="V311" s="17"/>
      <c r="W311" s="17"/>
      <c r="X311" s="17"/>
    </row>
    <row r="312" customFormat="false" ht="15" hidden="false" customHeight="fals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6" t="str">
        <f aca="false">IF(K312="","",IF(AND(K312&lt;=45,OR(J312="Já existe verba aprovada para esse tema",J312="Entra no orçamento do próximo ciclo")),"Alta",IF(OR(K312&lt;=45,J312="Já existe verba aprovada para esse tema"),"Média","Baixa")))</f>
        <v/>
      </c>
      <c r="S312" s="17"/>
      <c r="T312" s="17"/>
      <c r="U312" s="17"/>
      <c r="V312" s="17"/>
      <c r="W312" s="17"/>
      <c r="X312" s="17"/>
    </row>
    <row r="313" customFormat="false" ht="15" hidden="false" customHeight="fals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6" t="str">
        <f aca="false">IF(K313="","",IF(AND(K313&lt;=45,OR(J313="Já existe verba aprovada para esse tema",J313="Entra no orçamento do próximo ciclo")),"Alta",IF(OR(K313&lt;=45,J313="Já existe verba aprovada para esse tema"),"Média","Baixa")))</f>
        <v/>
      </c>
      <c r="S313" s="17"/>
      <c r="T313" s="17"/>
      <c r="U313" s="17"/>
      <c r="V313" s="17"/>
      <c r="W313" s="17"/>
      <c r="X313" s="17"/>
    </row>
    <row r="314" customFormat="false" ht="15" hidden="false" customHeight="fals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6" t="str">
        <f aca="false">IF(K314="","",IF(AND(K314&lt;=45,OR(J314="Já existe verba aprovada para esse tema",J314="Entra no orçamento do próximo ciclo")),"Alta",IF(OR(K314&lt;=45,J314="Já existe verba aprovada para esse tema"),"Média","Baixa")))</f>
        <v/>
      </c>
      <c r="S314" s="17"/>
      <c r="T314" s="17"/>
      <c r="U314" s="17"/>
      <c r="V314" s="17"/>
      <c r="W314" s="17"/>
      <c r="X314" s="17"/>
    </row>
    <row r="315" customFormat="false" ht="15" hidden="false" customHeight="fals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6" t="str">
        <f aca="false">IF(K315="","",IF(AND(K315&lt;=45,OR(J315="Já existe verba aprovada para esse tema",J315="Entra no orçamento do próximo ciclo")),"Alta",IF(OR(K315&lt;=45,J315="Já existe verba aprovada para esse tema"),"Média","Baixa")))</f>
        <v/>
      </c>
      <c r="S315" s="17"/>
      <c r="T315" s="17"/>
      <c r="U315" s="17"/>
      <c r="V315" s="17"/>
      <c r="W315" s="17"/>
      <c r="X315" s="17"/>
    </row>
    <row r="316" customFormat="false" ht="15" hidden="false" customHeight="fals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6" t="str">
        <f aca="false">IF(K316="","",IF(AND(K316&lt;=45,OR(J316="Já existe verba aprovada para esse tema",J316="Entra no orçamento do próximo ciclo")),"Alta",IF(OR(K316&lt;=45,J316="Já existe verba aprovada para esse tema"),"Média","Baixa")))</f>
        <v/>
      </c>
      <c r="S316" s="17"/>
      <c r="T316" s="17"/>
      <c r="U316" s="17"/>
      <c r="V316" s="17"/>
      <c r="W316" s="17"/>
      <c r="X316" s="17"/>
    </row>
    <row r="317" customFormat="false" ht="15" hidden="false" customHeight="fals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6" t="str">
        <f aca="false">IF(K317="","",IF(AND(K317&lt;=45,OR(J317="Já existe verba aprovada para esse tema",J317="Entra no orçamento do próximo ciclo")),"Alta",IF(OR(K317&lt;=45,J317="Já existe verba aprovada para esse tema"),"Média","Baixa")))</f>
        <v/>
      </c>
      <c r="S317" s="17"/>
      <c r="T317" s="17"/>
      <c r="U317" s="17"/>
      <c r="V317" s="17"/>
      <c r="W317" s="17"/>
      <c r="X317" s="17"/>
    </row>
    <row r="318" customFormat="false" ht="15" hidden="false" customHeight="fals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6" t="str">
        <f aca="false">IF(K318="","",IF(AND(K318&lt;=45,OR(J318="Já existe verba aprovada para esse tema",J318="Entra no orçamento do próximo ciclo")),"Alta",IF(OR(K318&lt;=45,J318="Já existe verba aprovada para esse tema"),"Média","Baixa")))</f>
        <v/>
      </c>
      <c r="S318" s="17"/>
      <c r="T318" s="17"/>
      <c r="U318" s="17"/>
      <c r="V318" s="17"/>
      <c r="W318" s="17"/>
      <c r="X318" s="17"/>
    </row>
    <row r="319" customFormat="false" ht="15" hidden="false" customHeight="fals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6" t="str">
        <f aca="false">IF(K319="","",IF(AND(K319&lt;=45,OR(J319="Já existe verba aprovada para esse tema",J319="Entra no orçamento do próximo ciclo")),"Alta",IF(OR(K319&lt;=45,J319="Já existe verba aprovada para esse tema"),"Média","Baixa")))</f>
        <v/>
      </c>
      <c r="S319" s="17"/>
      <c r="T319" s="17"/>
      <c r="U319" s="17"/>
      <c r="V319" s="17"/>
      <c r="W319" s="17"/>
      <c r="X319" s="17"/>
    </row>
    <row r="320" customFormat="false" ht="15" hidden="false" customHeight="fals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6" t="str">
        <f aca="false">IF(K320="","",IF(AND(K320&lt;=45,OR(J320="Já existe verba aprovada para esse tema",J320="Entra no orçamento do próximo ciclo")),"Alta",IF(OR(K320&lt;=45,J320="Já existe verba aprovada para esse tema"),"Média","Baixa")))</f>
        <v/>
      </c>
      <c r="S320" s="17"/>
      <c r="T320" s="17"/>
      <c r="U320" s="17"/>
      <c r="V320" s="17"/>
      <c r="W320" s="17"/>
      <c r="X320" s="17"/>
    </row>
    <row r="321" customFormat="false" ht="15" hidden="false" customHeight="fals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6" t="str">
        <f aca="false">IF(K321="","",IF(AND(K321&lt;=45,OR(J321="Já existe verba aprovada para esse tema",J321="Entra no orçamento do próximo ciclo")),"Alta",IF(OR(K321&lt;=45,J321="Já existe verba aprovada para esse tema"),"Média","Baixa")))</f>
        <v/>
      </c>
      <c r="S321" s="17"/>
      <c r="T321" s="17"/>
      <c r="U321" s="17"/>
      <c r="V321" s="17"/>
      <c r="W321" s="17"/>
      <c r="X321" s="17"/>
    </row>
    <row r="322" customFormat="false" ht="15" hidden="false" customHeight="fals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6" t="str">
        <f aca="false">IF(K322="","",IF(AND(K322&lt;=45,OR(J322="Já existe verba aprovada para esse tema",J322="Entra no orçamento do próximo ciclo")),"Alta",IF(OR(K322&lt;=45,J322="Já existe verba aprovada para esse tema"),"Média","Baixa")))</f>
        <v/>
      </c>
      <c r="S322" s="17"/>
      <c r="T322" s="17"/>
      <c r="U322" s="17"/>
      <c r="V322" s="17"/>
      <c r="W322" s="17"/>
      <c r="X322" s="17"/>
    </row>
    <row r="323" customFormat="false" ht="15" hidden="false" customHeight="fals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6" t="str">
        <f aca="false">IF(K323="","",IF(AND(K323&lt;=45,OR(J323="Já existe verba aprovada para esse tema",J323="Entra no orçamento do próximo ciclo")),"Alta",IF(OR(K323&lt;=45,J323="Já existe verba aprovada para esse tema"),"Média","Baixa")))</f>
        <v/>
      </c>
      <c r="S323" s="17"/>
      <c r="T323" s="17"/>
      <c r="U323" s="17"/>
      <c r="V323" s="17"/>
      <c r="W323" s="17"/>
      <c r="X323" s="17"/>
    </row>
    <row r="324" customFormat="false" ht="15" hidden="false" customHeight="fals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6" t="str">
        <f aca="false">IF(K324="","",IF(AND(K324&lt;=45,OR(J324="Já existe verba aprovada para esse tema",J324="Entra no orçamento do próximo ciclo")),"Alta",IF(OR(K324&lt;=45,J324="Já existe verba aprovada para esse tema"),"Média","Baixa")))</f>
        <v/>
      </c>
      <c r="S324" s="17"/>
      <c r="T324" s="17"/>
      <c r="U324" s="17"/>
      <c r="V324" s="17"/>
      <c r="W324" s="17"/>
      <c r="X324" s="17"/>
    </row>
    <row r="325" customFormat="false" ht="15" hidden="false" customHeight="fals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6" t="str">
        <f aca="false">IF(K325="","",IF(AND(K325&lt;=45,OR(J325="Já existe verba aprovada para esse tema",J325="Entra no orçamento do próximo ciclo")),"Alta",IF(OR(K325&lt;=45,J325="Já existe verba aprovada para esse tema"),"Média","Baixa")))</f>
        <v/>
      </c>
      <c r="S325" s="17"/>
      <c r="T325" s="17"/>
      <c r="U325" s="17"/>
      <c r="V325" s="17"/>
      <c r="W325" s="17"/>
      <c r="X325" s="17"/>
    </row>
    <row r="326" customFormat="false" ht="15" hidden="false" customHeight="fals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6" t="str">
        <f aca="false">IF(K326="","",IF(AND(K326&lt;=45,OR(J326="Já existe verba aprovada para esse tema",J326="Entra no orçamento do próximo ciclo")),"Alta",IF(OR(K326&lt;=45,J326="Já existe verba aprovada para esse tema"),"Média","Baixa")))</f>
        <v/>
      </c>
      <c r="S326" s="17"/>
      <c r="T326" s="17"/>
      <c r="U326" s="17"/>
      <c r="V326" s="17"/>
      <c r="W326" s="17"/>
      <c r="X326" s="17"/>
    </row>
    <row r="327" customFormat="false" ht="15" hidden="false" customHeight="fals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6" t="str">
        <f aca="false">IF(K327="","",IF(AND(K327&lt;=45,OR(J327="Já existe verba aprovada para esse tema",J327="Entra no orçamento do próximo ciclo")),"Alta",IF(OR(K327&lt;=45,J327="Já existe verba aprovada para esse tema"),"Média","Baixa")))</f>
        <v/>
      </c>
      <c r="S327" s="17"/>
      <c r="T327" s="17"/>
      <c r="U327" s="17"/>
      <c r="V327" s="17"/>
      <c r="W327" s="17"/>
      <c r="X327" s="17"/>
    </row>
    <row r="328" customFormat="false" ht="15" hidden="false" customHeight="fals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6" t="str">
        <f aca="false">IF(K328="","",IF(AND(K328&lt;=45,OR(J328="Já existe verba aprovada para esse tema",J328="Entra no orçamento do próximo ciclo")),"Alta",IF(OR(K328&lt;=45,J328="Já existe verba aprovada para esse tema"),"Média","Baixa")))</f>
        <v/>
      </c>
      <c r="S328" s="17"/>
      <c r="T328" s="17"/>
      <c r="U328" s="17"/>
      <c r="V328" s="17"/>
      <c r="W328" s="17"/>
      <c r="X328" s="17"/>
    </row>
    <row r="329" customFormat="false" ht="15" hidden="false" customHeight="fals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6" t="str">
        <f aca="false">IF(K329="","",IF(AND(K329&lt;=45,OR(J329="Já existe verba aprovada para esse tema",J329="Entra no orçamento do próximo ciclo")),"Alta",IF(OR(K329&lt;=45,J329="Já existe verba aprovada para esse tema"),"Média","Baixa")))</f>
        <v/>
      </c>
      <c r="S329" s="17"/>
      <c r="T329" s="17"/>
      <c r="U329" s="17"/>
      <c r="V329" s="17"/>
      <c r="W329" s="17"/>
      <c r="X329" s="17"/>
    </row>
    <row r="330" customFormat="false" ht="15" hidden="false" customHeight="fals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6" t="str">
        <f aca="false">IF(K330="","",IF(AND(K330&lt;=45,OR(J330="Já existe verba aprovada para esse tema",J330="Entra no orçamento do próximo ciclo")),"Alta",IF(OR(K330&lt;=45,J330="Já existe verba aprovada para esse tema"),"Média","Baixa")))</f>
        <v/>
      </c>
      <c r="S330" s="17"/>
      <c r="T330" s="17"/>
      <c r="U330" s="17"/>
      <c r="V330" s="17"/>
      <c r="W330" s="17"/>
      <c r="X330" s="17"/>
    </row>
    <row r="331" customFormat="false" ht="15" hidden="false" customHeight="fals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6" t="str">
        <f aca="false">IF(K331="","",IF(AND(K331&lt;=45,OR(J331="Já existe verba aprovada para esse tema",J331="Entra no orçamento do próximo ciclo")),"Alta",IF(OR(K331&lt;=45,J331="Já existe verba aprovada para esse tema"),"Média","Baixa")))</f>
        <v/>
      </c>
      <c r="S331" s="17"/>
      <c r="T331" s="17"/>
      <c r="U331" s="17"/>
      <c r="V331" s="17"/>
      <c r="W331" s="17"/>
      <c r="X331" s="17"/>
    </row>
    <row r="332" customFormat="false" ht="15" hidden="false" customHeight="fals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6" t="str">
        <f aca="false">IF(K332="","",IF(AND(K332&lt;=45,OR(J332="Já existe verba aprovada para esse tema",J332="Entra no orçamento do próximo ciclo")),"Alta",IF(OR(K332&lt;=45,J332="Já existe verba aprovada para esse tema"),"Média","Baixa")))</f>
        <v/>
      </c>
      <c r="S332" s="17"/>
      <c r="T332" s="17"/>
      <c r="U332" s="17"/>
      <c r="V332" s="17"/>
      <c r="W332" s="17"/>
      <c r="X332" s="17"/>
    </row>
    <row r="333" customFormat="false" ht="15" hidden="false" customHeight="fals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6" t="str">
        <f aca="false">IF(K333="","",IF(AND(K333&lt;=45,OR(J333="Já existe verba aprovada para esse tema",J333="Entra no orçamento do próximo ciclo")),"Alta",IF(OR(K333&lt;=45,J333="Já existe verba aprovada para esse tema"),"Média","Baixa")))</f>
        <v/>
      </c>
      <c r="S333" s="17"/>
      <c r="T333" s="17"/>
      <c r="U333" s="17"/>
      <c r="V333" s="17"/>
      <c r="W333" s="17"/>
      <c r="X333" s="17"/>
    </row>
    <row r="334" customFormat="false" ht="15" hidden="false" customHeight="fals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6" t="str">
        <f aca="false">IF(K334="","",IF(AND(K334&lt;=45,OR(J334="Já existe verba aprovada para esse tema",J334="Entra no orçamento do próximo ciclo")),"Alta",IF(OR(K334&lt;=45,J334="Já existe verba aprovada para esse tema"),"Média","Baixa")))</f>
        <v/>
      </c>
      <c r="S334" s="17"/>
      <c r="T334" s="17"/>
      <c r="U334" s="17"/>
      <c r="V334" s="17"/>
      <c r="W334" s="17"/>
      <c r="X334" s="17"/>
    </row>
    <row r="335" customFormat="false" ht="15" hidden="false" customHeight="fals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6" t="str">
        <f aca="false">IF(K335="","",IF(AND(K335&lt;=45,OR(J335="Já existe verba aprovada para esse tema",J335="Entra no orçamento do próximo ciclo")),"Alta",IF(OR(K335&lt;=45,J335="Já existe verba aprovada para esse tema"),"Média","Baixa")))</f>
        <v/>
      </c>
      <c r="S335" s="17"/>
      <c r="T335" s="17"/>
      <c r="U335" s="17"/>
      <c r="V335" s="17"/>
      <c r="W335" s="17"/>
      <c r="X335" s="17"/>
    </row>
    <row r="336" customFormat="false" ht="15" hidden="false" customHeight="fals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6" t="str">
        <f aca="false">IF(K336="","",IF(AND(K336&lt;=45,OR(J336="Já existe verba aprovada para esse tema",J336="Entra no orçamento do próximo ciclo")),"Alta",IF(OR(K336&lt;=45,J336="Já existe verba aprovada para esse tema"),"Média","Baixa")))</f>
        <v/>
      </c>
      <c r="S336" s="17"/>
      <c r="T336" s="17"/>
      <c r="U336" s="17"/>
      <c r="V336" s="17"/>
      <c r="W336" s="17"/>
      <c r="X336" s="17"/>
    </row>
    <row r="337" customFormat="false" ht="15" hidden="false" customHeight="fals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6" t="str">
        <f aca="false">IF(K337="","",IF(AND(K337&lt;=45,OR(J337="Já existe verba aprovada para esse tema",J337="Entra no orçamento do próximo ciclo")),"Alta",IF(OR(K337&lt;=45,J337="Já existe verba aprovada para esse tema"),"Média","Baixa")))</f>
        <v/>
      </c>
      <c r="S337" s="17"/>
      <c r="T337" s="17"/>
      <c r="U337" s="17"/>
      <c r="V337" s="17"/>
      <c r="W337" s="17"/>
      <c r="X337" s="17"/>
    </row>
    <row r="338" customFormat="false" ht="15" hidden="false" customHeight="fals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6" t="str">
        <f aca="false">IF(K338="","",IF(AND(K338&lt;=45,OR(J338="Já existe verba aprovada para esse tema",J338="Entra no orçamento do próximo ciclo")),"Alta",IF(OR(K338&lt;=45,J338="Já existe verba aprovada para esse tema"),"Média","Baixa")))</f>
        <v/>
      </c>
      <c r="S338" s="17"/>
      <c r="T338" s="17"/>
      <c r="U338" s="17"/>
      <c r="V338" s="17"/>
      <c r="W338" s="17"/>
      <c r="X338" s="17"/>
    </row>
    <row r="339" customFormat="false" ht="15" hidden="false" customHeight="fals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6" t="str">
        <f aca="false">IF(K339="","",IF(AND(K339&lt;=45,OR(J339="Já existe verba aprovada para esse tema",J339="Entra no orçamento do próximo ciclo")),"Alta",IF(OR(K339&lt;=45,J339="Já existe verba aprovada para esse tema"),"Média","Baixa")))</f>
        <v/>
      </c>
      <c r="S339" s="17"/>
      <c r="T339" s="17"/>
      <c r="U339" s="17"/>
      <c r="V339" s="17"/>
      <c r="W339" s="17"/>
      <c r="X339" s="17"/>
    </row>
    <row r="340" customFormat="false" ht="15" hidden="false" customHeight="fals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6" t="str">
        <f aca="false">IF(K340="","",IF(AND(K340&lt;=45,OR(J340="Já existe verba aprovada para esse tema",J340="Entra no orçamento do próximo ciclo")),"Alta",IF(OR(K340&lt;=45,J340="Já existe verba aprovada para esse tema"),"Média","Baixa")))</f>
        <v/>
      </c>
      <c r="S340" s="17"/>
      <c r="T340" s="17"/>
      <c r="U340" s="17"/>
      <c r="V340" s="17"/>
      <c r="W340" s="17"/>
      <c r="X340" s="17"/>
    </row>
    <row r="341" customFormat="false" ht="15" hidden="false" customHeight="fals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6" t="str">
        <f aca="false">IF(K341="","",IF(AND(K341&lt;=45,OR(J341="Já existe verba aprovada para esse tema",J341="Entra no orçamento do próximo ciclo")),"Alta",IF(OR(K341&lt;=45,J341="Já existe verba aprovada para esse tema"),"Média","Baixa")))</f>
        <v/>
      </c>
      <c r="S341" s="17"/>
      <c r="T341" s="17"/>
      <c r="U341" s="17"/>
      <c r="V341" s="17"/>
      <c r="W341" s="17"/>
      <c r="X341" s="17"/>
    </row>
    <row r="342" customFormat="false" ht="15" hidden="false" customHeight="fals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6" t="str">
        <f aca="false">IF(K342="","",IF(AND(K342&lt;=45,OR(J342="Já existe verba aprovada para esse tema",J342="Entra no orçamento do próximo ciclo")),"Alta",IF(OR(K342&lt;=45,J342="Já existe verba aprovada para esse tema"),"Média","Baixa")))</f>
        <v/>
      </c>
      <c r="S342" s="17"/>
      <c r="T342" s="17"/>
      <c r="U342" s="17"/>
      <c r="V342" s="17"/>
      <c r="W342" s="17"/>
      <c r="X342" s="17"/>
    </row>
    <row r="343" customFormat="false" ht="15" hidden="false" customHeight="fals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6" t="str">
        <f aca="false">IF(K343="","",IF(AND(K343&lt;=45,OR(J343="Já existe verba aprovada para esse tema",J343="Entra no orçamento do próximo ciclo")),"Alta",IF(OR(K343&lt;=45,J343="Já existe verba aprovada para esse tema"),"Média","Baixa")))</f>
        <v/>
      </c>
      <c r="S343" s="17"/>
      <c r="T343" s="17"/>
      <c r="U343" s="17"/>
      <c r="V343" s="17"/>
      <c r="W343" s="17"/>
      <c r="X343" s="17"/>
    </row>
    <row r="344" customFormat="false" ht="15" hidden="false" customHeight="fals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6" t="str">
        <f aca="false">IF(K344="","",IF(AND(K344&lt;=45,OR(J344="Já existe verba aprovada para esse tema",J344="Entra no orçamento do próximo ciclo")),"Alta",IF(OR(K344&lt;=45,J344="Já existe verba aprovada para esse tema"),"Média","Baixa")))</f>
        <v/>
      </c>
      <c r="S344" s="17"/>
      <c r="T344" s="17"/>
      <c r="U344" s="17"/>
      <c r="V344" s="17"/>
      <c r="W344" s="17"/>
      <c r="X344" s="17"/>
    </row>
    <row r="345" customFormat="false" ht="15" hidden="false" customHeight="fals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6" t="str">
        <f aca="false">IF(K345="","",IF(AND(K345&lt;=45,OR(J345="Já existe verba aprovada para esse tema",J345="Entra no orçamento do próximo ciclo")),"Alta",IF(OR(K345&lt;=45,J345="Já existe verba aprovada para esse tema"),"Média","Baixa")))</f>
        <v/>
      </c>
      <c r="S345" s="17"/>
      <c r="T345" s="17"/>
      <c r="U345" s="17"/>
      <c r="V345" s="17"/>
      <c r="W345" s="17"/>
      <c r="X345" s="17"/>
    </row>
    <row r="346" customFormat="false" ht="15" hidden="false" customHeight="fals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6" t="str">
        <f aca="false">IF(K346="","",IF(AND(K346&lt;=45,OR(J346="Já existe verba aprovada para esse tema",J346="Entra no orçamento do próximo ciclo")),"Alta",IF(OR(K346&lt;=45,J346="Já existe verba aprovada para esse tema"),"Média","Baixa")))</f>
        <v/>
      </c>
      <c r="S346" s="17"/>
      <c r="T346" s="17"/>
      <c r="U346" s="17"/>
      <c r="V346" s="17"/>
      <c r="W346" s="17"/>
      <c r="X346" s="17"/>
    </row>
    <row r="347" customFormat="false" ht="15" hidden="false" customHeight="fals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6" t="str">
        <f aca="false">IF(K347="","",IF(AND(K347&lt;=45,OR(J347="Já existe verba aprovada para esse tema",J347="Entra no orçamento do próximo ciclo")),"Alta",IF(OR(K347&lt;=45,J347="Já existe verba aprovada para esse tema"),"Média","Baixa")))</f>
        <v/>
      </c>
      <c r="S347" s="17"/>
      <c r="T347" s="17"/>
      <c r="U347" s="17"/>
      <c r="V347" s="17"/>
      <c r="W347" s="17"/>
      <c r="X347" s="17"/>
    </row>
    <row r="348" customFormat="false" ht="15" hidden="false" customHeight="fals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6" t="str">
        <f aca="false">IF(K348="","",IF(AND(K348&lt;=45,OR(J348="Já existe verba aprovada para esse tema",J348="Entra no orçamento do próximo ciclo")),"Alta",IF(OR(K348&lt;=45,J348="Já existe verba aprovada para esse tema"),"Média","Baixa")))</f>
        <v/>
      </c>
      <c r="S348" s="17"/>
      <c r="T348" s="17"/>
      <c r="U348" s="17"/>
      <c r="V348" s="17"/>
      <c r="W348" s="17"/>
      <c r="X348" s="17"/>
    </row>
    <row r="349" customFormat="false" ht="15" hidden="false" customHeight="fals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6" t="str">
        <f aca="false">IF(K349="","",IF(AND(K349&lt;=45,OR(J349="Já existe verba aprovada para esse tema",J349="Entra no orçamento do próximo ciclo")),"Alta",IF(OR(K349&lt;=45,J349="Já existe verba aprovada para esse tema"),"Média","Baixa")))</f>
        <v/>
      </c>
      <c r="S349" s="17"/>
      <c r="T349" s="17"/>
      <c r="U349" s="17"/>
      <c r="V349" s="17"/>
      <c r="W349" s="17"/>
      <c r="X349" s="17"/>
    </row>
    <row r="350" customFormat="false" ht="15" hidden="false" customHeight="fals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6" t="str">
        <f aca="false">IF(K350="","",IF(AND(K350&lt;=45,OR(J350="Já existe verba aprovada para esse tema",J350="Entra no orçamento do próximo ciclo")),"Alta",IF(OR(K350&lt;=45,J350="Já existe verba aprovada para esse tema"),"Média","Baixa")))</f>
        <v/>
      </c>
      <c r="S350" s="17"/>
      <c r="T350" s="17"/>
      <c r="U350" s="17"/>
      <c r="V350" s="17"/>
      <c r="W350" s="17"/>
      <c r="X350" s="17"/>
    </row>
    <row r="351" customFormat="false" ht="15" hidden="false" customHeight="fals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6" t="str">
        <f aca="false">IF(K351="","",IF(AND(K351&lt;=45,OR(J351="Já existe verba aprovada para esse tema",J351="Entra no orçamento do próximo ciclo")),"Alta",IF(OR(K351&lt;=45,J351="Já existe verba aprovada para esse tema"),"Média","Baixa")))</f>
        <v/>
      </c>
      <c r="S351" s="17"/>
      <c r="T351" s="17"/>
      <c r="U351" s="17"/>
      <c r="V351" s="17"/>
      <c r="W351" s="17"/>
      <c r="X351" s="17"/>
    </row>
    <row r="352" customFormat="false" ht="15" hidden="false" customHeight="fals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6" t="str">
        <f aca="false">IF(K352="","",IF(AND(K352&lt;=45,OR(J352="Já existe verba aprovada para esse tema",J352="Entra no orçamento do próximo ciclo")),"Alta",IF(OR(K352&lt;=45,J352="Já existe verba aprovada para esse tema"),"Média","Baixa")))</f>
        <v/>
      </c>
      <c r="S352" s="17"/>
      <c r="T352" s="17"/>
      <c r="U352" s="17"/>
      <c r="V352" s="17"/>
      <c r="W352" s="17"/>
      <c r="X352" s="17"/>
    </row>
    <row r="353" customFormat="false" ht="15" hidden="false" customHeight="fals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6" t="str">
        <f aca="false">IF(K353="","",IF(AND(K353&lt;=45,OR(J353="Já existe verba aprovada para esse tema",J353="Entra no orçamento do próximo ciclo")),"Alta",IF(OR(K353&lt;=45,J353="Já existe verba aprovada para esse tema"),"Média","Baixa")))</f>
        <v/>
      </c>
      <c r="S353" s="17"/>
      <c r="T353" s="17"/>
      <c r="U353" s="17"/>
      <c r="V353" s="17"/>
      <c r="W353" s="17"/>
      <c r="X353" s="17"/>
    </row>
    <row r="354" customFormat="false" ht="15" hidden="false" customHeight="fals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6" t="str">
        <f aca="false">IF(K354="","",IF(AND(K354&lt;=45,OR(J354="Já existe verba aprovada para esse tema",J354="Entra no orçamento do próximo ciclo")),"Alta",IF(OR(K354&lt;=45,J354="Já existe verba aprovada para esse tema"),"Média","Baixa")))</f>
        <v/>
      </c>
      <c r="S354" s="17"/>
      <c r="T354" s="17"/>
      <c r="U354" s="17"/>
      <c r="V354" s="17"/>
      <c r="W354" s="17"/>
      <c r="X354" s="17"/>
    </row>
    <row r="355" customFormat="false" ht="15" hidden="false" customHeight="fals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6" t="str">
        <f aca="false">IF(K355="","",IF(AND(K355&lt;=45,OR(J355="Já existe verba aprovada para esse tema",J355="Entra no orçamento do próximo ciclo")),"Alta",IF(OR(K355&lt;=45,J355="Já existe verba aprovada para esse tema"),"Média","Baixa")))</f>
        <v/>
      </c>
      <c r="S355" s="17"/>
      <c r="T355" s="17"/>
      <c r="U355" s="17"/>
      <c r="V355" s="17"/>
      <c r="W355" s="17"/>
      <c r="X355" s="17"/>
    </row>
    <row r="356" customFormat="false" ht="15" hidden="false" customHeight="fals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6" t="str">
        <f aca="false">IF(K356="","",IF(AND(K356&lt;=45,OR(J356="Já existe verba aprovada para esse tema",J356="Entra no orçamento do próximo ciclo")),"Alta",IF(OR(K356&lt;=45,J356="Já existe verba aprovada para esse tema"),"Média","Baixa")))</f>
        <v/>
      </c>
      <c r="S356" s="17"/>
      <c r="T356" s="17"/>
      <c r="U356" s="17"/>
      <c r="V356" s="17"/>
      <c r="W356" s="17"/>
      <c r="X356" s="17"/>
    </row>
    <row r="357" customFormat="false" ht="15" hidden="false" customHeight="fals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6" t="str">
        <f aca="false">IF(K357="","",IF(AND(K357&lt;=45,OR(J357="Já existe verba aprovada para esse tema",J357="Entra no orçamento do próximo ciclo")),"Alta",IF(OR(K357&lt;=45,J357="Já existe verba aprovada para esse tema"),"Média","Baixa")))</f>
        <v/>
      </c>
      <c r="S357" s="17"/>
      <c r="T357" s="17"/>
      <c r="U357" s="17"/>
      <c r="V357" s="17"/>
      <c r="W357" s="17"/>
      <c r="X357" s="17"/>
    </row>
    <row r="358" customFormat="false" ht="15" hidden="false" customHeight="fals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6" t="str">
        <f aca="false">IF(K358="","",IF(AND(K358&lt;=45,OR(J358="Já existe verba aprovada para esse tema",J358="Entra no orçamento do próximo ciclo")),"Alta",IF(OR(K358&lt;=45,J358="Já existe verba aprovada para esse tema"),"Média","Baixa")))</f>
        <v/>
      </c>
      <c r="S358" s="17"/>
      <c r="T358" s="17"/>
      <c r="U358" s="17"/>
      <c r="V358" s="17"/>
      <c r="W358" s="17"/>
      <c r="X358" s="17"/>
    </row>
    <row r="359" customFormat="false" ht="15" hidden="false" customHeight="fals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6" t="str">
        <f aca="false">IF(K359="","",IF(AND(K359&lt;=45,OR(J359="Já existe verba aprovada para esse tema",J359="Entra no orçamento do próximo ciclo")),"Alta",IF(OR(K359&lt;=45,J359="Já existe verba aprovada para esse tema"),"Média","Baixa")))</f>
        <v/>
      </c>
      <c r="S359" s="17"/>
      <c r="T359" s="17"/>
      <c r="U359" s="17"/>
      <c r="V359" s="17"/>
      <c r="W359" s="17"/>
      <c r="X359" s="17"/>
    </row>
    <row r="360" customFormat="false" ht="15" hidden="false" customHeight="fals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6" t="str">
        <f aca="false">IF(K360="","",IF(AND(K360&lt;=45,OR(J360="Já existe verba aprovada para esse tema",J360="Entra no orçamento do próximo ciclo")),"Alta",IF(OR(K360&lt;=45,J360="Já existe verba aprovada para esse tema"),"Média","Baixa")))</f>
        <v/>
      </c>
      <c r="S360" s="17"/>
      <c r="T360" s="17"/>
      <c r="U360" s="17"/>
      <c r="V360" s="17"/>
      <c r="W360" s="17"/>
      <c r="X360" s="17"/>
    </row>
    <row r="361" customFormat="false" ht="15" hidden="false" customHeight="fals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6" t="str">
        <f aca="false">IF(K361="","",IF(AND(K361&lt;=45,OR(J361="Já existe verba aprovada para esse tema",J361="Entra no orçamento do próximo ciclo")),"Alta",IF(OR(K361&lt;=45,J361="Já existe verba aprovada para esse tema"),"Média","Baixa")))</f>
        <v/>
      </c>
      <c r="S361" s="17"/>
      <c r="T361" s="17"/>
      <c r="U361" s="17"/>
      <c r="V361" s="17"/>
      <c r="W361" s="17"/>
      <c r="X361" s="17"/>
    </row>
    <row r="362" customFormat="false" ht="15" hidden="false" customHeight="fals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6" t="str">
        <f aca="false">IF(K362="","",IF(AND(K362&lt;=45,OR(J362="Já existe verba aprovada para esse tema",J362="Entra no orçamento do próximo ciclo")),"Alta",IF(OR(K362&lt;=45,J362="Já existe verba aprovada para esse tema"),"Média","Baixa")))</f>
        <v/>
      </c>
      <c r="S362" s="17"/>
      <c r="T362" s="17"/>
      <c r="U362" s="17"/>
      <c r="V362" s="17"/>
      <c r="W362" s="17"/>
      <c r="X362" s="17"/>
    </row>
    <row r="363" customFormat="false" ht="15" hidden="false" customHeight="fals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6" t="str">
        <f aca="false">IF(K363="","",IF(AND(K363&lt;=45,OR(J363="Já existe verba aprovada para esse tema",J363="Entra no orçamento do próximo ciclo")),"Alta",IF(OR(K363&lt;=45,J363="Já existe verba aprovada para esse tema"),"Média","Baixa")))</f>
        <v/>
      </c>
      <c r="S363" s="17"/>
      <c r="T363" s="17"/>
      <c r="U363" s="17"/>
      <c r="V363" s="17"/>
      <c r="W363" s="17"/>
      <c r="X363" s="17"/>
    </row>
    <row r="364" customFormat="false" ht="15" hidden="false" customHeight="fals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6" t="str">
        <f aca="false">IF(K364="","",IF(AND(K364&lt;=45,OR(J364="Já existe verba aprovada para esse tema",J364="Entra no orçamento do próximo ciclo")),"Alta",IF(OR(K364&lt;=45,J364="Já existe verba aprovada para esse tema"),"Média","Baixa")))</f>
        <v/>
      </c>
      <c r="S364" s="17"/>
      <c r="T364" s="17"/>
      <c r="U364" s="17"/>
      <c r="V364" s="17"/>
      <c r="W364" s="17"/>
      <c r="X364" s="17"/>
    </row>
    <row r="365" customFormat="false" ht="15" hidden="false" customHeight="fals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6" t="str">
        <f aca="false">IF(K365="","",IF(AND(K365&lt;=45,OR(J365="Já existe verba aprovada para esse tema",J365="Entra no orçamento do próximo ciclo")),"Alta",IF(OR(K365&lt;=45,J365="Já existe verba aprovada para esse tema"),"Média","Baixa")))</f>
        <v/>
      </c>
      <c r="S365" s="17"/>
      <c r="T365" s="17"/>
      <c r="U365" s="17"/>
      <c r="V365" s="17"/>
      <c r="W365" s="17"/>
      <c r="X365" s="17"/>
    </row>
    <row r="366" customFormat="false" ht="15" hidden="false" customHeight="fals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6" t="str">
        <f aca="false">IF(K366="","",IF(AND(K366&lt;=45,OR(J366="Já existe verba aprovada para esse tema",J366="Entra no orçamento do próximo ciclo")),"Alta",IF(OR(K366&lt;=45,J366="Já existe verba aprovada para esse tema"),"Média","Baixa")))</f>
        <v/>
      </c>
      <c r="S366" s="17"/>
      <c r="T366" s="17"/>
      <c r="U366" s="17"/>
      <c r="V366" s="17"/>
      <c r="W366" s="17"/>
      <c r="X366" s="17"/>
    </row>
    <row r="367" customFormat="false" ht="15" hidden="false" customHeight="fals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6" t="str">
        <f aca="false">IF(K367="","",IF(AND(K367&lt;=45,OR(J367="Já existe verba aprovada para esse tema",J367="Entra no orçamento do próximo ciclo")),"Alta",IF(OR(K367&lt;=45,J367="Já existe verba aprovada para esse tema"),"Média","Baixa")))</f>
        <v/>
      </c>
      <c r="S367" s="17"/>
      <c r="T367" s="17"/>
      <c r="U367" s="17"/>
      <c r="V367" s="17"/>
      <c r="W367" s="17"/>
      <c r="X367" s="17"/>
    </row>
    <row r="368" customFormat="false" ht="15" hidden="false" customHeight="fals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6" t="str">
        <f aca="false">IF(K368="","",IF(AND(K368&lt;=45,OR(J368="Já existe verba aprovada para esse tema",J368="Entra no orçamento do próximo ciclo")),"Alta",IF(OR(K368&lt;=45,J368="Já existe verba aprovada para esse tema"),"Média","Baixa")))</f>
        <v/>
      </c>
      <c r="S368" s="17"/>
      <c r="T368" s="17"/>
      <c r="U368" s="17"/>
      <c r="V368" s="17"/>
      <c r="W368" s="17"/>
      <c r="X368" s="17"/>
    </row>
    <row r="369" customFormat="false" ht="15" hidden="false" customHeight="fals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6" t="str">
        <f aca="false">IF(K369="","",IF(AND(K369&lt;=45,OR(J369="Já existe verba aprovada para esse tema",J369="Entra no orçamento do próximo ciclo")),"Alta",IF(OR(K369&lt;=45,J369="Já existe verba aprovada para esse tema"),"Média","Baixa")))</f>
        <v/>
      </c>
      <c r="S369" s="17"/>
      <c r="T369" s="17"/>
      <c r="U369" s="17"/>
      <c r="V369" s="17"/>
      <c r="W369" s="17"/>
      <c r="X369" s="17"/>
    </row>
    <row r="370" customFormat="false" ht="15" hidden="false" customHeight="fals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6" t="str">
        <f aca="false">IF(K370="","",IF(AND(K370&lt;=45,OR(J370="Já existe verba aprovada para esse tema",J370="Entra no orçamento do próximo ciclo")),"Alta",IF(OR(K370&lt;=45,J370="Já existe verba aprovada para esse tema"),"Média","Baixa")))</f>
        <v/>
      </c>
      <c r="S370" s="17"/>
      <c r="T370" s="17"/>
      <c r="U370" s="17"/>
      <c r="V370" s="17"/>
      <c r="W370" s="17"/>
      <c r="X370" s="17"/>
    </row>
    <row r="371" customFormat="false" ht="15" hidden="false" customHeight="fals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6" t="str">
        <f aca="false">IF(K371="","",IF(AND(K371&lt;=45,OR(J371="Já existe verba aprovada para esse tema",J371="Entra no orçamento do próximo ciclo")),"Alta",IF(OR(K371&lt;=45,J371="Já existe verba aprovada para esse tema"),"Média","Baixa")))</f>
        <v/>
      </c>
      <c r="S371" s="17"/>
      <c r="T371" s="17"/>
      <c r="U371" s="17"/>
      <c r="V371" s="17"/>
      <c r="W371" s="17"/>
      <c r="X371" s="17"/>
    </row>
    <row r="372" customFormat="false" ht="15" hidden="false" customHeight="fals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6" t="str">
        <f aca="false">IF(K372="","",IF(AND(K372&lt;=45,OR(J372="Já existe verba aprovada para esse tema",J372="Entra no orçamento do próximo ciclo")),"Alta",IF(OR(K372&lt;=45,J372="Já existe verba aprovada para esse tema"),"Média","Baixa")))</f>
        <v/>
      </c>
      <c r="S372" s="17"/>
      <c r="T372" s="17"/>
      <c r="U372" s="17"/>
      <c r="V372" s="17"/>
      <c r="W372" s="17"/>
      <c r="X372" s="17"/>
    </row>
    <row r="373" customFormat="false" ht="15" hidden="false" customHeight="fals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6" t="str">
        <f aca="false">IF(K373="","",IF(AND(K373&lt;=45,OR(J373="Já existe verba aprovada para esse tema",J373="Entra no orçamento do próximo ciclo")),"Alta",IF(OR(K373&lt;=45,J373="Já existe verba aprovada para esse tema"),"Média","Baixa")))</f>
        <v/>
      </c>
      <c r="S373" s="17"/>
      <c r="T373" s="17"/>
      <c r="U373" s="17"/>
      <c r="V373" s="17"/>
      <c r="W373" s="17"/>
      <c r="X373" s="17"/>
    </row>
    <row r="374" customFormat="false" ht="15" hidden="false" customHeight="fals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6" t="str">
        <f aca="false">IF(K374="","",IF(AND(K374&lt;=45,OR(J374="Já existe verba aprovada para esse tema",J374="Entra no orçamento do próximo ciclo")),"Alta",IF(OR(K374&lt;=45,J374="Já existe verba aprovada para esse tema"),"Média","Baixa")))</f>
        <v/>
      </c>
      <c r="S374" s="17"/>
      <c r="T374" s="17"/>
      <c r="U374" s="17"/>
      <c r="V374" s="17"/>
      <c r="W374" s="17"/>
      <c r="X374" s="17"/>
    </row>
    <row r="375" customFormat="false" ht="15" hidden="false" customHeight="fals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6" t="str">
        <f aca="false">IF(K375="","",IF(AND(K375&lt;=45,OR(J375="Já existe verba aprovada para esse tema",J375="Entra no orçamento do próximo ciclo")),"Alta",IF(OR(K375&lt;=45,J375="Já existe verba aprovada para esse tema"),"Média","Baixa")))</f>
        <v/>
      </c>
      <c r="S375" s="17"/>
      <c r="T375" s="17"/>
      <c r="U375" s="17"/>
      <c r="V375" s="17"/>
      <c r="W375" s="17"/>
      <c r="X375" s="17"/>
    </row>
    <row r="376" customFormat="false" ht="15" hidden="false" customHeight="fals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6" t="str">
        <f aca="false">IF(K376="","",IF(AND(K376&lt;=45,OR(J376="Já existe verba aprovada para esse tema",J376="Entra no orçamento do próximo ciclo")),"Alta",IF(OR(K376&lt;=45,J376="Já existe verba aprovada para esse tema"),"Média","Baixa")))</f>
        <v/>
      </c>
      <c r="S376" s="17"/>
      <c r="T376" s="17"/>
      <c r="U376" s="17"/>
      <c r="V376" s="17"/>
      <c r="W376" s="17"/>
      <c r="X376" s="17"/>
    </row>
    <row r="377" customFormat="false" ht="15" hidden="false" customHeight="fals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6" t="str">
        <f aca="false">IF(K377="","",IF(AND(K377&lt;=45,OR(J377="Já existe verba aprovada para esse tema",J377="Entra no orçamento do próximo ciclo")),"Alta",IF(OR(K377&lt;=45,J377="Já existe verba aprovada para esse tema"),"Média","Baixa")))</f>
        <v/>
      </c>
      <c r="S377" s="17"/>
      <c r="T377" s="17"/>
      <c r="U377" s="17"/>
      <c r="V377" s="17"/>
      <c r="W377" s="17"/>
      <c r="X377" s="17"/>
    </row>
    <row r="378" customFormat="false" ht="15" hidden="false" customHeight="fals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6" t="str">
        <f aca="false">IF(K378="","",IF(AND(K378&lt;=45,OR(J378="Já existe verba aprovada para esse tema",J378="Entra no orçamento do próximo ciclo")),"Alta",IF(OR(K378&lt;=45,J378="Já existe verba aprovada para esse tema"),"Média","Baixa")))</f>
        <v/>
      </c>
      <c r="S378" s="17"/>
      <c r="T378" s="17"/>
      <c r="U378" s="17"/>
      <c r="V378" s="17"/>
      <c r="W378" s="17"/>
      <c r="X378" s="17"/>
    </row>
    <row r="379" customFormat="false" ht="15" hidden="false" customHeight="fals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6" t="str">
        <f aca="false">IF(K379="","",IF(AND(K379&lt;=45,OR(J379="Já existe verba aprovada para esse tema",J379="Entra no orçamento do próximo ciclo")),"Alta",IF(OR(K379&lt;=45,J379="Já existe verba aprovada para esse tema"),"Média","Baixa")))</f>
        <v/>
      </c>
      <c r="S379" s="17"/>
      <c r="T379" s="17"/>
      <c r="U379" s="17"/>
      <c r="V379" s="17"/>
      <c r="W379" s="17"/>
      <c r="X379" s="17"/>
    </row>
    <row r="380" customFormat="false" ht="15" hidden="false" customHeight="fals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6" t="str">
        <f aca="false">IF(K380="","",IF(AND(K380&lt;=45,OR(J380="Já existe verba aprovada para esse tema",J380="Entra no orçamento do próximo ciclo")),"Alta",IF(OR(K380&lt;=45,J380="Já existe verba aprovada para esse tema"),"Média","Baixa")))</f>
        <v/>
      </c>
      <c r="S380" s="17"/>
      <c r="T380" s="17"/>
      <c r="U380" s="17"/>
      <c r="V380" s="17"/>
      <c r="W380" s="17"/>
      <c r="X380" s="17"/>
    </row>
    <row r="381" customFormat="false" ht="15" hidden="false" customHeight="fals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6" t="str">
        <f aca="false">IF(K381="","",IF(AND(K381&lt;=45,OR(J381="Já existe verba aprovada para esse tema",J381="Entra no orçamento do próximo ciclo")),"Alta",IF(OR(K381&lt;=45,J381="Já existe verba aprovada para esse tema"),"Média","Baixa")))</f>
        <v/>
      </c>
      <c r="S381" s="17"/>
      <c r="T381" s="17"/>
      <c r="U381" s="17"/>
      <c r="V381" s="17"/>
      <c r="W381" s="17"/>
      <c r="X381" s="17"/>
    </row>
    <row r="382" customFormat="false" ht="15" hidden="false" customHeight="fals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6" t="str">
        <f aca="false">IF(K382="","",IF(AND(K382&lt;=45,OR(J382="Já existe verba aprovada para esse tema",J382="Entra no orçamento do próximo ciclo")),"Alta",IF(OR(K382&lt;=45,J382="Já existe verba aprovada para esse tema"),"Média","Baixa")))</f>
        <v/>
      </c>
      <c r="S382" s="17"/>
      <c r="T382" s="17"/>
      <c r="U382" s="17"/>
      <c r="V382" s="17"/>
      <c r="W382" s="17"/>
      <c r="X382" s="17"/>
    </row>
    <row r="383" customFormat="false" ht="15" hidden="false" customHeight="fals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6" t="str">
        <f aca="false">IF(K383="","",IF(AND(K383&lt;=45,OR(J383="Já existe verba aprovada para esse tema",J383="Entra no orçamento do próximo ciclo")),"Alta",IF(OR(K383&lt;=45,J383="Já existe verba aprovada para esse tema"),"Média","Baixa")))</f>
        <v/>
      </c>
      <c r="S383" s="17"/>
      <c r="T383" s="17"/>
      <c r="U383" s="17"/>
      <c r="V383" s="17"/>
      <c r="W383" s="17"/>
      <c r="X383" s="17"/>
    </row>
    <row r="384" customFormat="false" ht="15" hidden="false" customHeight="fals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6" t="str">
        <f aca="false">IF(K384="","",IF(AND(K384&lt;=45,OR(J384="Já existe verba aprovada para esse tema",J384="Entra no orçamento do próximo ciclo")),"Alta",IF(OR(K384&lt;=45,J384="Já existe verba aprovada para esse tema"),"Média","Baixa")))</f>
        <v/>
      </c>
      <c r="S384" s="17"/>
      <c r="T384" s="17"/>
      <c r="U384" s="17"/>
      <c r="V384" s="17"/>
      <c r="W384" s="17"/>
      <c r="X384" s="17"/>
    </row>
    <row r="385" customFormat="false" ht="15" hidden="false" customHeight="fals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6" t="str">
        <f aca="false">IF(K385="","",IF(AND(K385&lt;=45,OR(J385="Já existe verba aprovada para esse tema",J385="Entra no orçamento do próximo ciclo")),"Alta",IF(OR(K385&lt;=45,J385="Já existe verba aprovada para esse tema"),"Média","Baixa")))</f>
        <v/>
      </c>
      <c r="S385" s="17"/>
      <c r="T385" s="17"/>
      <c r="U385" s="17"/>
      <c r="V385" s="17"/>
      <c r="W385" s="17"/>
      <c r="X385" s="17"/>
    </row>
    <row r="386" customFormat="false" ht="15" hidden="false" customHeight="fals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6" t="str">
        <f aca="false">IF(K386="","",IF(AND(K386&lt;=45,OR(J386="Já existe verba aprovada para esse tema",J386="Entra no orçamento do próximo ciclo")),"Alta",IF(OR(K386&lt;=45,J386="Já existe verba aprovada para esse tema"),"Média","Baixa")))</f>
        <v/>
      </c>
      <c r="S386" s="17"/>
      <c r="T386" s="17"/>
      <c r="U386" s="17"/>
      <c r="V386" s="17"/>
      <c r="W386" s="17"/>
      <c r="X386" s="17"/>
    </row>
    <row r="387" customFormat="false" ht="15" hidden="false" customHeight="fals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6" t="str">
        <f aca="false">IF(K387="","",IF(AND(K387&lt;=45,OR(J387="Já existe verba aprovada para esse tema",J387="Entra no orçamento do próximo ciclo")),"Alta",IF(OR(K387&lt;=45,J387="Já existe verba aprovada para esse tema"),"Média","Baixa")))</f>
        <v/>
      </c>
      <c r="S387" s="17"/>
      <c r="T387" s="17"/>
      <c r="U387" s="17"/>
      <c r="V387" s="17"/>
      <c r="W387" s="17"/>
      <c r="X387" s="17"/>
    </row>
    <row r="388" customFormat="false" ht="15" hidden="false" customHeight="fals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6" t="str">
        <f aca="false">IF(K388="","",IF(AND(K388&lt;=45,OR(J388="Já existe verba aprovada para esse tema",J388="Entra no orçamento do próximo ciclo")),"Alta",IF(OR(K388&lt;=45,J388="Já existe verba aprovada para esse tema"),"Média","Baixa")))</f>
        <v/>
      </c>
      <c r="S388" s="17"/>
      <c r="T388" s="17"/>
      <c r="U388" s="17"/>
      <c r="V388" s="17"/>
      <c r="W388" s="17"/>
      <c r="X388" s="17"/>
    </row>
    <row r="389" customFormat="false" ht="15" hidden="false" customHeight="fals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6" t="str">
        <f aca="false">IF(K389="","",IF(AND(K389&lt;=45,OR(J389="Já existe verba aprovada para esse tema",J389="Entra no orçamento do próximo ciclo")),"Alta",IF(OR(K389&lt;=45,J389="Já existe verba aprovada para esse tema"),"Média","Baixa")))</f>
        <v/>
      </c>
      <c r="S389" s="17"/>
      <c r="T389" s="17"/>
      <c r="U389" s="17"/>
      <c r="V389" s="17"/>
      <c r="W389" s="17"/>
      <c r="X389" s="17"/>
    </row>
    <row r="390" customFormat="false" ht="15" hidden="false" customHeight="fals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6" t="str">
        <f aca="false">IF(K390="","",IF(AND(K390&lt;=45,OR(J390="Já existe verba aprovada para esse tema",J390="Entra no orçamento do próximo ciclo")),"Alta",IF(OR(K390&lt;=45,J390="Já existe verba aprovada para esse tema"),"Média","Baixa")))</f>
        <v/>
      </c>
      <c r="S390" s="17"/>
      <c r="T390" s="17"/>
      <c r="U390" s="17"/>
      <c r="V390" s="17"/>
      <c r="W390" s="17"/>
      <c r="X390" s="17"/>
    </row>
    <row r="391" customFormat="false" ht="15" hidden="false" customHeight="fals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6" t="str">
        <f aca="false">IF(K391="","",IF(AND(K391&lt;=45,OR(J391="Já existe verba aprovada para esse tema",J391="Entra no orçamento do próximo ciclo")),"Alta",IF(OR(K391&lt;=45,J391="Já existe verba aprovada para esse tema"),"Média","Baixa")))</f>
        <v/>
      </c>
      <c r="S391" s="17"/>
      <c r="T391" s="17"/>
      <c r="U391" s="17"/>
      <c r="V391" s="17"/>
      <c r="W391" s="17"/>
      <c r="X391" s="17"/>
    </row>
    <row r="392" customFormat="false" ht="15" hidden="false" customHeight="fals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6" t="str">
        <f aca="false">IF(K392="","",IF(AND(K392&lt;=45,OR(J392="Já existe verba aprovada para esse tema",J392="Entra no orçamento do próximo ciclo")),"Alta",IF(OR(K392&lt;=45,J392="Já existe verba aprovada para esse tema"),"Média","Baixa")))</f>
        <v/>
      </c>
      <c r="S392" s="17"/>
      <c r="T392" s="17"/>
      <c r="U392" s="17"/>
      <c r="V392" s="17"/>
      <c r="W392" s="17"/>
      <c r="X392" s="17"/>
    </row>
    <row r="393" customFormat="false" ht="15" hidden="false" customHeight="fals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6" t="str">
        <f aca="false">IF(K393="","",IF(AND(K393&lt;=45,OR(J393="Já existe verba aprovada para esse tema",J393="Entra no orçamento do próximo ciclo")),"Alta",IF(OR(K393&lt;=45,J393="Já existe verba aprovada para esse tema"),"Média","Baixa")))</f>
        <v/>
      </c>
      <c r="S393" s="17"/>
      <c r="T393" s="17"/>
      <c r="U393" s="17"/>
      <c r="V393" s="17"/>
      <c r="W393" s="17"/>
      <c r="X393" s="17"/>
    </row>
    <row r="394" customFormat="false" ht="15" hidden="false" customHeight="fals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6" t="str">
        <f aca="false">IF(K394="","",IF(AND(K394&lt;=45,OR(J394="Já existe verba aprovada para esse tema",J394="Entra no orçamento do próximo ciclo")),"Alta",IF(OR(K394&lt;=45,J394="Já existe verba aprovada para esse tema"),"Média","Baixa")))</f>
        <v/>
      </c>
      <c r="S394" s="17"/>
      <c r="T394" s="17"/>
      <c r="U394" s="17"/>
      <c r="V394" s="17"/>
      <c r="W394" s="17"/>
      <c r="X394" s="17"/>
    </row>
    <row r="395" customFormat="false" ht="15" hidden="false" customHeight="fals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6" t="str">
        <f aca="false">IF(K395="","",IF(AND(K395&lt;=45,OR(J395="Já existe verba aprovada para esse tema",J395="Entra no orçamento do próximo ciclo")),"Alta",IF(OR(K395&lt;=45,J395="Já existe verba aprovada para esse tema"),"Média","Baixa")))</f>
        <v/>
      </c>
      <c r="S395" s="17"/>
      <c r="T395" s="17"/>
      <c r="U395" s="17"/>
      <c r="V395" s="17"/>
      <c r="W395" s="17"/>
      <c r="X395" s="17"/>
    </row>
    <row r="396" customFormat="false" ht="15" hidden="false" customHeight="fals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6" t="str">
        <f aca="false">IF(K396="","",IF(AND(K396&lt;=45,OR(J396="Já existe verba aprovada para esse tema",J396="Entra no orçamento do próximo ciclo")),"Alta",IF(OR(K396&lt;=45,J396="Já existe verba aprovada para esse tema"),"Média","Baixa")))</f>
        <v/>
      </c>
      <c r="S396" s="17"/>
      <c r="T396" s="17"/>
      <c r="U396" s="17"/>
      <c r="V396" s="17"/>
      <c r="W396" s="17"/>
      <c r="X396" s="17"/>
    </row>
    <row r="397" customFormat="false" ht="15" hidden="false" customHeight="fals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6" t="str">
        <f aca="false">IF(K397="","",IF(AND(K397&lt;=45,OR(J397="Já existe verba aprovada para esse tema",J397="Entra no orçamento do próximo ciclo")),"Alta",IF(OR(K397&lt;=45,J397="Já existe verba aprovada para esse tema"),"Média","Baixa")))</f>
        <v/>
      </c>
      <c r="S397" s="17"/>
      <c r="T397" s="17"/>
      <c r="U397" s="17"/>
      <c r="V397" s="17"/>
      <c r="W397" s="17"/>
      <c r="X397" s="17"/>
    </row>
    <row r="398" customFormat="false" ht="15" hidden="false" customHeight="fals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6" t="str">
        <f aca="false">IF(K398="","",IF(AND(K398&lt;=45,OR(J398="Já existe verba aprovada para esse tema",J398="Entra no orçamento do próximo ciclo")),"Alta",IF(OR(K398&lt;=45,J398="Já existe verba aprovada para esse tema"),"Média","Baixa")))</f>
        <v/>
      </c>
      <c r="S398" s="17"/>
      <c r="T398" s="17"/>
      <c r="U398" s="17"/>
      <c r="V398" s="17"/>
      <c r="W398" s="17"/>
      <c r="X398" s="17"/>
    </row>
    <row r="399" customFormat="false" ht="15" hidden="false" customHeight="fals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6" t="str">
        <f aca="false">IF(K399="","",IF(AND(K399&lt;=45,OR(J399="Já existe verba aprovada para esse tema",J399="Entra no orçamento do próximo ciclo")),"Alta",IF(OR(K399&lt;=45,J399="Já existe verba aprovada para esse tema"),"Média","Baixa")))</f>
        <v/>
      </c>
      <c r="S399" s="17"/>
      <c r="T399" s="17"/>
      <c r="U399" s="17"/>
      <c r="V399" s="17"/>
      <c r="W399" s="17"/>
      <c r="X399" s="17"/>
    </row>
    <row r="400" customFormat="false" ht="15" hidden="false" customHeight="fals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6" t="str">
        <f aca="false">IF(K400="","",IF(AND(K400&lt;=45,OR(J400="Já existe verba aprovada para esse tema",J400="Entra no orçamento do próximo ciclo")),"Alta",IF(OR(K400&lt;=45,J400="Já existe verba aprovada para esse tema"),"Média","Baixa")))</f>
        <v/>
      </c>
      <c r="S400" s="17"/>
      <c r="T400" s="17"/>
      <c r="U400" s="17"/>
      <c r="V400" s="17"/>
      <c r="W400" s="17"/>
      <c r="X400" s="17"/>
    </row>
    <row r="401" customFormat="false" ht="15" hidden="false" customHeight="fals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6" t="str">
        <f aca="false">IF(K401="","",IF(AND(K401&lt;=45,OR(J401="Já existe verba aprovada para esse tema",J401="Entra no orçamento do próximo ciclo")),"Alta",IF(OR(K401&lt;=45,J401="Já existe verba aprovada para esse tema"),"Média","Baixa")))</f>
        <v/>
      </c>
      <c r="S401" s="17"/>
      <c r="T401" s="17"/>
      <c r="U401" s="17"/>
      <c r="V401" s="17"/>
      <c r="W401" s="17"/>
      <c r="X401" s="17"/>
    </row>
    <row r="402" customFormat="false" ht="15" hidden="false" customHeight="fals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6" t="str">
        <f aca="false">IF(K402="","",IF(AND(K402&lt;=45,OR(J402="Já existe verba aprovada para esse tema",J402="Entra no orçamento do próximo ciclo")),"Alta",IF(OR(K402&lt;=45,J402="Já existe verba aprovada para esse tema"),"Média","Baixa")))</f>
        <v/>
      </c>
      <c r="S402" s="17"/>
      <c r="T402" s="17"/>
      <c r="U402" s="17"/>
      <c r="V402" s="17"/>
      <c r="W402" s="17"/>
      <c r="X402" s="17"/>
    </row>
    <row r="403" customFormat="false" ht="15" hidden="false" customHeight="fals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6" t="str">
        <f aca="false">IF(K403="","",IF(AND(K403&lt;=45,OR(J403="Já existe verba aprovada para esse tema",J403="Entra no orçamento do próximo ciclo")),"Alta",IF(OR(K403&lt;=45,J403="Já existe verba aprovada para esse tema"),"Média","Baixa")))</f>
        <v/>
      </c>
      <c r="S403" s="17"/>
      <c r="T403" s="17"/>
      <c r="U403" s="17"/>
      <c r="V403" s="17"/>
      <c r="W403" s="17"/>
      <c r="X403" s="17"/>
    </row>
    <row r="404" customFormat="false" ht="15" hidden="false" customHeight="fals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6" t="str">
        <f aca="false">IF(K404="","",IF(AND(K404&lt;=45,OR(J404="Já existe verba aprovada para esse tema",J404="Entra no orçamento do próximo ciclo")),"Alta",IF(OR(K404&lt;=45,J404="Já existe verba aprovada para esse tema"),"Média","Baixa")))</f>
        <v/>
      </c>
      <c r="S404" s="17"/>
      <c r="T404" s="17"/>
      <c r="U404" s="17"/>
      <c r="V404" s="17"/>
      <c r="W404" s="17"/>
      <c r="X404" s="17"/>
    </row>
    <row r="405" customFormat="false" ht="15" hidden="false" customHeight="fals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6" t="str">
        <f aca="false">IF(K405="","",IF(AND(K405&lt;=45,OR(J405="Já existe verba aprovada para esse tema",J405="Entra no orçamento do próximo ciclo")),"Alta",IF(OR(K405&lt;=45,J405="Já existe verba aprovada para esse tema"),"Média","Baixa")))</f>
        <v/>
      </c>
      <c r="S405" s="17"/>
      <c r="T405" s="17"/>
      <c r="U405" s="17"/>
      <c r="V405" s="17"/>
      <c r="W405" s="17"/>
      <c r="X405" s="17"/>
    </row>
    <row r="406" customFormat="false" ht="15" hidden="false" customHeight="fals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6" t="str">
        <f aca="false">IF(K406="","",IF(AND(K406&lt;=45,OR(J406="Já existe verba aprovada para esse tema",J406="Entra no orçamento do próximo ciclo")),"Alta",IF(OR(K406&lt;=45,J406="Já existe verba aprovada para esse tema"),"Média","Baixa")))</f>
        <v/>
      </c>
      <c r="S406" s="17"/>
      <c r="T406" s="17"/>
      <c r="U406" s="17"/>
      <c r="V406" s="17"/>
      <c r="W406" s="17"/>
      <c r="X406" s="17"/>
    </row>
    <row r="407" customFormat="false" ht="15" hidden="false" customHeight="fals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6" t="str">
        <f aca="false">IF(K407="","",IF(AND(K407&lt;=45,OR(J407="Já existe verba aprovada para esse tema",J407="Entra no orçamento do próximo ciclo")),"Alta",IF(OR(K407&lt;=45,J407="Já existe verba aprovada para esse tema"),"Média","Baixa")))</f>
        <v/>
      </c>
      <c r="S407" s="17"/>
      <c r="T407" s="17"/>
      <c r="U407" s="17"/>
      <c r="V407" s="17"/>
      <c r="W407" s="17"/>
      <c r="X407" s="17"/>
    </row>
    <row r="408" customFormat="false" ht="15" hidden="false" customHeight="fals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6" t="str">
        <f aca="false">IF(K408="","",IF(AND(K408&lt;=45,OR(J408="Já existe verba aprovada para esse tema",J408="Entra no orçamento do próximo ciclo")),"Alta",IF(OR(K408&lt;=45,J408="Já existe verba aprovada para esse tema"),"Média","Baixa")))</f>
        <v/>
      </c>
      <c r="S408" s="17"/>
      <c r="T408" s="17"/>
      <c r="U408" s="17"/>
      <c r="V408" s="17"/>
      <c r="W408" s="17"/>
      <c r="X408" s="17"/>
    </row>
    <row r="409" customFormat="false" ht="15" hidden="false" customHeight="fals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6" t="str">
        <f aca="false">IF(K409="","",IF(AND(K409&lt;=45,OR(J409="Já existe verba aprovada para esse tema",J409="Entra no orçamento do próximo ciclo")),"Alta",IF(OR(K409&lt;=45,J409="Já existe verba aprovada para esse tema"),"Média","Baixa")))</f>
        <v/>
      </c>
      <c r="S409" s="17"/>
      <c r="T409" s="17"/>
      <c r="U409" s="17"/>
      <c r="V409" s="17"/>
      <c r="W409" s="17"/>
      <c r="X409" s="17"/>
    </row>
    <row r="410" customFormat="false" ht="15" hidden="false" customHeight="fals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6" t="str">
        <f aca="false">IF(K410="","",IF(AND(K410&lt;=45,OR(J410="Já existe verba aprovada para esse tema",J410="Entra no orçamento do próximo ciclo")),"Alta",IF(OR(K410&lt;=45,J410="Já existe verba aprovada para esse tema"),"Média","Baixa")))</f>
        <v/>
      </c>
      <c r="S410" s="17"/>
      <c r="T410" s="17"/>
      <c r="U410" s="17"/>
      <c r="V410" s="17"/>
      <c r="W410" s="17"/>
      <c r="X410" s="17"/>
    </row>
    <row r="411" customFormat="false" ht="15" hidden="false" customHeight="fals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6" t="str">
        <f aca="false">IF(K411="","",IF(AND(K411&lt;=45,OR(J411="Já existe verba aprovada para esse tema",J411="Entra no orçamento do próximo ciclo")),"Alta",IF(OR(K411&lt;=45,J411="Já existe verba aprovada para esse tema"),"Média","Baixa")))</f>
        <v/>
      </c>
      <c r="S411" s="17"/>
      <c r="T411" s="17"/>
      <c r="U411" s="17"/>
      <c r="V411" s="17"/>
      <c r="W411" s="17"/>
      <c r="X411" s="17"/>
    </row>
    <row r="412" customFormat="false" ht="15" hidden="false" customHeight="fals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6" t="str">
        <f aca="false">IF(K412="","",IF(AND(K412&lt;=45,OR(J412="Já existe verba aprovada para esse tema",J412="Entra no orçamento do próximo ciclo")),"Alta",IF(OR(K412&lt;=45,J412="Já existe verba aprovada para esse tema"),"Média","Baixa")))</f>
        <v/>
      </c>
      <c r="S412" s="17"/>
      <c r="T412" s="17"/>
      <c r="U412" s="17"/>
      <c r="V412" s="17"/>
      <c r="W412" s="17"/>
      <c r="X412" s="17"/>
    </row>
    <row r="413" customFormat="false" ht="15" hidden="false" customHeight="fals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6" t="str">
        <f aca="false">IF(K413="","",IF(AND(K413&lt;=45,OR(J413="Já existe verba aprovada para esse tema",J413="Entra no orçamento do próximo ciclo")),"Alta",IF(OR(K413&lt;=45,J413="Já existe verba aprovada para esse tema"),"Média","Baixa")))</f>
        <v/>
      </c>
      <c r="S413" s="17"/>
      <c r="T413" s="17"/>
      <c r="U413" s="17"/>
      <c r="V413" s="17"/>
      <c r="W413" s="17"/>
      <c r="X413" s="17"/>
    </row>
    <row r="414" customFormat="false" ht="15" hidden="false" customHeight="fals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6" t="str">
        <f aca="false">IF(K414="","",IF(AND(K414&lt;=45,OR(J414="Já existe verba aprovada para esse tema",J414="Entra no orçamento do próximo ciclo")),"Alta",IF(OR(K414&lt;=45,J414="Já existe verba aprovada para esse tema"),"Média","Baixa")))</f>
        <v/>
      </c>
      <c r="S414" s="17"/>
      <c r="T414" s="17"/>
      <c r="U414" s="17"/>
      <c r="V414" s="17"/>
      <c r="W414" s="17"/>
      <c r="X414" s="17"/>
    </row>
    <row r="415" customFormat="false" ht="15" hidden="false" customHeight="fals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6" t="str">
        <f aca="false">IF(K415="","",IF(AND(K415&lt;=45,OR(J415="Já existe verba aprovada para esse tema",J415="Entra no orçamento do próximo ciclo")),"Alta",IF(OR(K415&lt;=45,J415="Já existe verba aprovada para esse tema"),"Média","Baixa")))</f>
        <v/>
      </c>
      <c r="S415" s="17"/>
      <c r="T415" s="17"/>
      <c r="U415" s="17"/>
      <c r="V415" s="17"/>
      <c r="W415" s="17"/>
      <c r="X415" s="17"/>
    </row>
    <row r="416" customFormat="false" ht="15" hidden="false" customHeight="fals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6" t="str">
        <f aca="false">IF(K416="","",IF(AND(K416&lt;=45,OR(J416="Já existe verba aprovada para esse tema",J416="Entra no orçamento do próximo ciclo")),"Alta",IF(OR(K416&lt;=45,J416="Já existe verba aprovada para esse tema"),"Média","Baixa")))</f>
        <v/>
      </c>
      <c r="S416" s="17"/>
      <c r="T416" s="17"/>
      <c r="U416" s="17"/>
      <c r="V416" s="17"/>
      <c r="W416" s="17"/>
      <c r="X416" s="17"/>
    </row>
    <row r="417" customFormat="false" ht="15" hidden="false" customHeight="fals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6" t="str">
        <f aca="false">IF(K417="","",IF(AND(K417&lt;=45,OR(J417="Já existe verba aprovada para esse tema",J417="Entra no orçamento do próximo ciclo")),"Alta",IF(OR(K417&lt;=45,J417="Já existe verba aprovada para esse tema"),"Média","Baixa")))</f>
        <v/>
      </c>
      <c r="S417" s="17"/>
      <c r="T417" s="17"/>
      <c r="U417" s="17"/>
      <c r="V417" s="17"/>
      <c r="W417" s="17"/>
      <c r="X417" s="17"/>
    </row>
    <row r="418" customFormat="false" ht="15" hidden="false" customHeight="fals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6" t="str">
        <f aca="false">IF(K418="","",IF(AND(K418&lt;=45,OR(J418="Já existe verba aprovada para esse tema",J418="Entra no orçamento do próximo ciclo")),"Alta",IF(OR(K418&lt;=45,J418="Já existe verba aprovada para esse tema"),"Média","Baixa")))</f>
        <v/>
      </c>
      <c r="S418" s="17"/>
      <c r="T418" s="17"/>
      <c r="U418" s="17"/>
      <c r="V418" s="17"/>
      <c r="W418" s="17"/>
      <c r="X418" s="17"/>
    </row>
    <row r="419" customFormat="false" ht="15" hidden="false" customHeight="fals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6" t="str">
        <f aca="false">IF(K419="","",IF(AND(K419&lt;=45,OR(J419="Já existe verba aprovada para esse tema",J419="Entra no orçamento do próximo ciclo")),"Alta",IF(OR(K419&lt;=45,J419="Já existe verba aprovada para esse tema"),"Média","Baixa")))</f>
        <v/>
      </c>
      <c r="S419" s="17"/>
      <c r="T419" s="17"/>
      <c r="U419" s="17"/>
      <c r="V419" s="17"/>
      <c r="W419" s="17"/>
      <c r="X419" s="17"/>
    </row>
    <row r="420" customFormat="false" ht="15" hidden="false" customHeight="fals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6" t="str">
        <f aca="false">IF(K420="","",IF(AND(K420&lt;=45,OR(J420="Já existe verba aprovada para esse tema",J420="Entra no orçamento do próximo ciclo")),"Alta",IF(OR(K420&lt;=45,J420="Já existe verba aprovada para esse tema"),"Média","Baixa")))</f>
        <v/>
      </c>
      <c r="S420" s="17"/>
      <c r="T420" s="17"/>
      <c r="U420" s="17"/>
      <c r="V420" s="17"/>
      <c r="W420" s="17"/>
      <c r="X420" s="17"/>
    </row>
    <row r="421" customFormat="false" ht="15" hidden="false" customHeight="fals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6" t="str">
        <f aca="false">IF(K421="","",IF(AND(K421&lt;=45,OR(J421="Já existe verba aprovada para esse tema",J421="Entra no orçamento do próximo ciclo")),"Alta",IF(OR(K421&lt;=45,J421="Já existe verba aprovada para esse tema"),"Média","Baixa")))</f>
        <v/>
      </c>
      <c r="S421" s="17"/>
      <c r="T421" s="17"/>
      <c r="U421" s="17"/>
      <c r="V421" s="17"/>
      <c r="W421" s="17"/>
      <c r="X421" s="17"/>
    </row>
    <row r="422" customFormat="false" ht="15" hidden="false" customHeight="fals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6" t="str">
        <f aca="false">IF(K422="","",IF(AND(K422&lt;=45,OR(J422="Já existe verba aprovada para esse tema",J422="Entra no orçamento do próximo ciclo")),"Alta",IF(OR(K422&lt;=45,J422="Já existe verba aprovada para esse tema"),"Média","Baixa")))</f>
        <v/>
      </c>
      <c r="S422" s="17"/>
      <c r="T422" s="17"/>
      <c r="U422" s="17"/>
      <c r="V422" s="17"/>
      <c r="W422" s="17"/>
      <c r="X422" s="17"/>
    </row>
    <row r="423" customFormat="false" ht="15" hidden="false" customHeight="fals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6" t="str">
        <f aca="false">IF(K423="","",IF(AND(K423&lt;=45,OR(J423="Já existe verba aprovada para esse tema",J423="Entra no orçamento do próximo ciclo")),"Alta",IF(OR(K423&lt;=45,J423="Já existe verba aprovada para esse tema"),"Média","Baixa")))</f>
        <v/>
      </c>
      <c r="S423" s="17"/>
      <c r="T423" s="17"/>
      <c r="U423" s="17"/>
      <c r="V423" s="17"/>
      <c r="W423" s="17"/>
      <c r="X423" s="17"/>
    </row>
    <row r="424" customFormat="false" ht="15" hidden="false" customHeight="fals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6" t="str">
        <f aca="false">IF(K424="","",IF(AND(K424&lt;=45,OR(J424="Já existe verba aprovada para esse tema",J424="Entra no orçamento do próximo ciclo")),"Alta",IF(OR(K424&lt;=45,J424="Já existe verba aprovada para esse tema"),"Média","Baixa")))</f>
        <v/>
      </c>
      <c r="S424" s="17"/>
      <c r="T424" s="17"/>
      <c r="U424" s="17"/>
      <c r="V424" s="17"/>
      <c r="W424" s="17"/>
      <c r="X424" s="17"/>
    </row>
    <row r="425" customFormat="false" ht="15" hidden="false" customHeight="fals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6" t="str">
        <f aca="false">IF(K425="","",IF(AND(K425&lt;=45,OR(J425="Já existe verba aprovada para esse tema",J425="Entra no orçamento do próximo ciclo")),"Alta",IF(OR(K425&lt;=45,J425="Já existe verba aprovada para esse tema"),"Média","Baixa")))</f>
        <v/>
      </c>
      <c r="S425" s="17"/>
      <c r="T425" s="17"/>
      <c r="U425" s="17"/>
      <c r="V425" s="17"/>
      <c r="W425" s="17"/>
      <c r="X425" s="17"/>
    </row>
    <row r="426" customFormat="false" ht="15" hidden="false" customHeight="fals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6" t="str">
        <f aca="false">IF(K426="","",IF(AND(K426&lt;=45,OR(J426="Já existe verba aprovada para esse tema",J426="Entra no orçamento do próximo ciclo")),"Alta",IF(OR(K426&lt;=45,J426="Já existe verba aprovada para esse tema"),"Média","Baixa")))</f>
        <v/>
      </c>
      <c r="S426" s="17"/>
      <c r="T426" s="17"/>
      <c r="U426" s="17"/>
      <c r="V426" s="17"/>
      <c r="W426" s="17"/>
      <c r="X426" s="17"/>
    </row>
    <row r="427" customFormat="false" ht="15" hidden="false" customHeight="fals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6" t="str">
        <f aca="false">IF(K427="","",IF(AND(K427&lt;=45,OR(J427="Já existe verba aprovada para esse tema",J427="Entra no orçamento do próximo ciclo")),"Alta",IF(OR(K427&lt;=45,J427="Já existe verba aprovada para esse tema"),"Média","Baixa")))</f>
        <v/>
      </c>
      <c r="S427" s="17"/>
      <c r="T427" s="17"/>
      <c r="U427" s="17"/>
      <c r="V427" s="17"/>
      <c r="W427" s="17"/>
      <c r="X427" s="17"/>
    </row>
    <row r="428" customFormat="false" ht="15" hidden="false" customHeight="fals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6" t="str">
        <f aca="false">IF(K428="","",IF(AND(K428&lt;=45,OR(J428="Já existe verba aprovada para esse tema",J428="Entra no orçamento do próximo ciclo")),"Alta",IF(OR(K428&lt;=45,J428="Já existe verba aprovada para esse tema"),"Média","Baixa")))</f>
        <v/>
      </c>
      <c r="S428" s="17"/>
      <c r="T428" s="17"/>
      <c r="U428" s="17"/>
      <c r="V428" s="17"/>
      <c r="W428" s="17"/>
      <c r="X428" s="17"/>
    </row>
    <row r="429" customFormat="false" ht="15" hidden="false" customHeight="fals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6" t="str">
        <f aca="false">IF(K429="","",IF(AND(K429&lt;=45,OR(J429="Já existe verba aprovada para esse tema",J429="Entra no orçamento do próximo ciclo")),"Alta",IF(OR(K429&lt;=45,J429="Já existe verba aprovada para esse tema"),"Média","Baixa")))</f>
        <v/>
      </c>
      <c r="S429" s="17"/>
      <c r="T429" s="17"/>
      <c r="U429" s="17"/>
      <c r="V429" s="17"/>
      <c r="W429" s="17"/>
      <c r="X429" s="17"/>
    </row>
    <row r="430" customFormat="false" ht="15" hidden="false" customHeight="fals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6" t="str">
        <f aca="false">IF(K430="","",IF(AND(K430&lt;=45,OR(J430="Já existe verba aprovada para esse tema",J430="Entra no orçamento do próximo ciclo")),"Alta",IF(OR(K430&lt;=45,J430="Já existe verba aprovada para esse tema"),"Média","Baixa")))</f>
        <v/>
      </c>
      <c r="S430" s="17"/>
      <c r="T430" s="17"/>
      <c r="U430" s="17"/>
      <c r="V430" s="17"/>
      <c r="W430" s="17"/>
      <c r="X430" s="17"/>
    </row>
    <row r="431" customFormat="false" ht="15" hidden="false" customHeight="fals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6" t="str">
        <f aca="false">IF(K431="","",IF(AND(K431&lt;=45,OR(J431="Já existe verba aprovada para esse tema",J431="Entra no orçamento do próximo ciclo")),"Alta",IF(OR(K431&lt;=45,J431="Já existe verba aprovada para esse tema"),"Média","Baixa")))</f>
        <v/>
      </c>
      <c r="S431" s="17"/>
      <c r="T431" s="17"/>
      <c r="U431" s="17"/>
      <c r="V431" s="17"/>
      <c r="W431" s="17"/>
      <c r="X431" s="17"/>
    </row>
    <row r="432" customFormat="false" ht="15" hidden="false" customHeight="fals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6" t="str">
        <f aca="false">IF(K432="","",IF(AND(K432&lt;=45,OR(J432="Já existe verba aprovada para esse tema",J432="Entra no orçamento do próximo ciclo")),"Alta",IF(OR(K432&lt;=45,J432="Já existe verba aprovada para esse tema"),"Média","Baixa")))</f>
        <v/>
      </c>
      <c r="S432" s="17"/>
      <c r="T432" s="17"/>
      <c r="U432" s="17"/>
      <c r="V432" s="17"/>
      <c r="W432" s="17"/>
      <c r="X432" s="17"/>
    </row>
    <row r="433" customFormat="false" ht="15" hidden="false" customHeight="fals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6" t="str">
        <f aca="false">IF(K433="","",IF(AND(K433&lt;=45,OR(J433="Já existe verba aprovada para esse tema",J433="Entra no orçamento do próximo ciclo")),"Alta",IF(OR(K433&lt;=45,J433="Já existe verba aprovada para esse tema"),"Média","Baixa")))</f>
        <v/>
      </c>
      <c r="S433" s="17"/>
      <c r="T433" s="17"/>
      <c r="U433" s="17"/>
      <c r="V433" s="17"/>
      <c r="W433" s="17"/>
      <c r="X433" s="17"/>
    </row>
    <row r="434" customFormat="false" ht="15" hidden="false" customHeight="fals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6" t="str">
        <f aca="false">IF(K434="","",IF(AND(K434&lt;=45,OR(J434="Já existe verba aprovada para esse tema",J434="Entra no orçamento do próximo ciclo")),"Alta",IF(OR(K434&lt;=45,J434="Já existe verba aprovada para esse tema"),"Média","Baixa")))</f>
        <v/>
      </c>
      <c r="S434" s="17"/>
      <c r="T434" s="17"/>
      <c r="U434" s="17"/>
      <c r="V434" s="17"/>
      <c r="W434" s="17"/>
      <c r="X434" s="17"/>
    </row>
    <row r="435" customFormat="false" ht="15" hidden="false" customHeight="fals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6" t="str">
        <f aca="false">IF(K435="","",IF(AND(K435&lt;=45,OR(J435="Já existe verba aprovada para esse tema",J435="Entra no orçamento do próximo ciclo")),"Alta",IF(OR(K435&lt;=45,J435="Já existe verba aprovada para esse tema"),"Média","Baixa")))</f>
        <v/>
      </c>
      <c r="S435" s="17"/>
      <c r="T435" s="17"/>
      <c r="U435" s="17"/>
      <c r="V435" s="17"/>
      <c r="W435" s="17"/>
      <c r="X435" s="17"/>
    </row>
    <row r="436" customFormat="false" ht="15" hidden="false" customHeight="fals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6" t="str">
        <f aca="false">IF(K436="","",IF(AND(K436&lt;=45,OR(J436="Já existe verba aprovada para esse tema",J436="Entra no orçamento do próximo ciclo")),"Alta",IF(OR(K436&lt;=45,J436="Já existe verba aprovada para esse tema"),"Média","Baixa")))</f>
        <v/>
      </c>
      <c r="S436" s="17"/>
      <c r="T436" s="17"/>
      <c r="U436" s="17"/>
      <c r="V436" s="17"/>
      <c r="W436" s="17"/>
      <c r="X436" s="17"/>
    </row>
    <row r="437" customFormat="false" ht="15" hidden="false" customHeight="fals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6" t="str">
        <f aca="false">IF(K437="","",IF(AND(K437&lt;=45,OR(J437="Já existe verba aprovada para esse tema",J437="Entra no orçamento do próximo ciclo")),"Alta",IF(OR(K437&lt;=45,J437="Já existe verba aprovada para esse tema"),"Média","Baixa")))</f>
        <v/>
      </c>
      <c r="S437" s="17"/>
      <c r="T437" s="17"/>
      <c r="U437" s="17"/>
      <c r="V437" s="17"/>
      <c r="W437" s="17"/>
      <c r="X437" s="17"/>
    </row>
    <row r="438" customFormat="false" ht="15" hidden="false" customHeight="fals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6" t="str">
        <f aca="false">IF(K438="","",IF(AND(K438&lt;=45,OR(J438="Já existe verba aprovada para esse tema",J438="Entra no orçamento do próximo ciclo")),"Alta",IF(OR(K438&lt;=45,J438="Já existe verba aprovada para esse tema"),"Média","Baixa")))</f>
        <v/>
      </c>
      <c r="S438" s="17"/>
      <c r="T438" s="17"/>
      <c r="U438" s="17"/>
      <c r="V438" s="17"/>
      <c r="W438" s="17"/>
      <c r="X438" s="17"/>
    </row>
    <row r="439" customFormat="false" ht="15" hidden="false" customHeight="fals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6" t="str">
        <f aca="false">IF(K439="","",IF(AND(K439&lt;=45,OR(J439="Já existe verba aprovada para esse tema",J439="Entra no orçamento do próximo ciclo")),"Alta",IF(OR(K439&lt;=45,J439="Já existe verba aprovada para esse tema"),"Média","Baixa")))</f>
        <v/>
      </c>
      <c r="S439" s="17"/>
      <c r="T439" s="17"/>
      <c r="U439" s="17"/>
      <c r="V439" s="17"/>
      <c r="W439" s="17"/>
      <c r="X439" s="17"/>
    </row>
    <row r="440" customFormat="false" ht="15" hidden="false" customHeight="fals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6" t="str">
        <f aca="false">IF(K440="","",IF(AND(K440&lt;=45,OR(J440="Já existe verba aprovada para esse tema",J440="Entra no orçamento do próximo ciclo")),"Alta",IF(OR(K440&lt;=45,J440="Já existe verba aprovada para esse tema"),"Média","Baixa")))</f>
        <v/>
      </c>
      <c r="S440" s="17"/>
      <c r="T440" s="17"/>
      <c r="U440" s="17"/>
      <c r="V440" s="17"/>
      <c r="W440" s="17"/>
      <c r="X440" s="17"/>
    </row>
    <row r="441" customFormat="false" ht="15" hidden="false" customHeight="fals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6" t="str">
        <f aca="false">IF(K441="","",IF(AND(K441&lt;=45,OR(J441="Já existe verba aprovada para esse tema",J441="Entra no orçamento do próximo ciclo")),"Alta",IF(OR(K441&lt;=45,J441="Já existe verba aprovada para esse tema"),"Média","Baixa")))</f>
        <v/>
      </c>
      <c r="S441" s="17"/>
      <c r="T441" s="17"/>
      <c r="U441" s="17"/>
      <c r="V441" s="17"/>
      <c r="W441" s="17"/>
      <c r="X441" s="17"/>
    </row>
    <row r="442" customFormat="false" ht="15" hidden="false" customHeight="fals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6" t="str">
        <f aca="false">IF(K442="","",IF(AND(K442&lt;=45,OR(J442="Já existe verba aprovada para esse tema",J442="Entra no orçamento do próximo ciclo")),"Alta",IF(OR(K442&lt;=45,J442="Já existe verba aprovada para esse tema"),"Média","Baixa")))</f>
        <v/>
      </c>
      <c r="S442" s="17"/>
      <c r="T442" s="17"/>
      <c r="U442" s="17"/>
      <c r="V442" s="17"/>
      <c r="W442" s="17"/>
      <c r="X442" s="17"/>
    </row>
    <row r="443" customFormat="false" ht="15" hidden="false" customHeight="fals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6" t="str">
        <f aca="false">IF(K443="","",IF(AND(K443&lt;=45,OR(J443="Já existe verba aprovada para esse tema",J443="Entra no orçamento do próximo ciclo")),"Alta",IF(OR(K443&lt;=45,J443="Já existe verba aprovada para esse tema"),"Média","Baixa")))</f>
        <v/>
      </c>
      <c r="S443" s="17"/>
      <c r="T443" s="17"/>
      <c r="U443" s="17"/>
      <c r="V443" s="17"/>
      <c r="W443" s="17"/>
      <c r="X443" s="17"/>
    </row>
    <row r="444" customFormat="false" ht="15" hidden="false" customHeight="fals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6" t="str">
        <f aca="false">IF(K444="","",IF(AND(K444&lt;=45,OR(J444="Já existe verba aprovada para esse tema",J444="Entra no orçamento do próximo ciclo")),"Alta",IF(OR(K444&lt;=45,J444="Já existe verba aprovada para esse tema"),"Média","Baixa")))</f>
        <v/>
      </c>
      <c r="S444" s="17"/>
      <c r="T444" s="17"/>
      <c r="U444" s="17"/>
      <c r="V444" s="17"/>
      <c r="W444" s="17"/>
      <c r="X444" s="17"/>
    </row>
    <row r="445" customFormat="false" ht="15" hidden="false" customHeight="fals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6" t="str">
        <f aca="false">IF(K445="","",IF(AND(K445&lt;=45,OR(J445="Já existe verba aprovada para esse tema",J445="Entra no orçamento do próximo ciclo")),"Alta",IF(OR(K445&lt;=45,J445="Já existe verba aprovada para esse tema"),"Média","Baixa")))</f>
        <v/>
      </c>
      <c r="S445" s="17"/>
      <c r="T445" s="17"/>
      <c r="U445" s="17"/>
      <c r="V445" s="17"/>
      <c r="W445" s="17"/>
      <c r="X445" s="17"/>
    </row>
    <row r="446" customFormat="false" ht="15" hidden="false" customHeight="fals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6" t="str">
        <f aca="false">IF(K446="","",IF(AND(K446&lt;=45,OR(J446="Já existe verba aprovada para esse tema",J446="Entra no orçamento do próximo ciclo")),"Alta",IF(OR(K446&lt;=45,J446="Já existe verba aprovada para esse tema"),"Média","Baixa")))</f>
        <v/>
      </c>
      <c r="S446" s="17"/>
      <c r="T446" s="17"/>
      <c r="U446" s="17"/>
      <c r="V446" s="17"/>
      <c r="W446" s="17"/>
      <c r="X446" s="17"/>
    </row>
    <row r="447" customFormat="false" ht="15" hidden="false" customHeight="fals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6" t="str">
        <f aca="false">IF(K447="","",IF(AND(K447&lt;=45,OR(J447="Já existe verba aprovada para esse tema",J447="Entra no orçamento do próximo ciclo")),"Alta",IF(OR(K447&lt;=45,J447="Já existe verba aprovada para esse tema"),"Média","Baixa")))</f>
        <v/>
      </c>
      <c r="S447" s="17"/>
      <c r="T447" s="17"/>
      <c r="U447" s="17"/>
      <c r="V447" s="17"/>
      <c r="W447" s="17"/>
      <c r="X447" s="17"/>
    </row>
    <row r="448" customFormat="false" ht="15" hidden="false" customHeight="fals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6" t="str">
        <f aca="false">IF(K448="","",IF(AND(K448&lt;=45,OR(J448="Já existe verba aprovada para esse tema",J448="Entra no orçamento do próximo ciclo")),"Alta",IF(OR(K448&lt;=45,J448="Já existe verba aprovada para esse tema"),"Média","Baixa")))</f>
        <v/>
      </c>
      <c r="S448" s="17"/>
      <c r="T448" s="17"/>
      <c r="U448" s="17"/>
      <c r="V448" s="17"/>
      <c r="W448" s="17"/>
      <c r="X448" s="17"/>
    </row>
    <row r="449" customFormat="false" ht="15" hidden="false" customHeight="fals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6" t="str">
        <f aca="false">IF(K449="","",IF(AND(K449&lt;=45,OR(J449="Já existe verba aprovada para esse tema",J449="Entra no orçamento do próximo ciclo")),"Alta",IF(OR(K449&lt;=45,J449="Já existe verba aprovada para esse tema"),"Média","Baixa")))</f>
        <v/>
      </c>
      <c r="S449" s="17"/>
      <c r="T449" s="17"/>
      <c r="U449" s="17"/>
      <c r="V449" s="17"/>
      <c r="W449" s="17"/>
      <c r="X449" s="17"/>
    </row>
    <row r="450" customFormat="false" ht="15" hidden="false" customHeight="fals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6" t="str">
        <f aca="false">IF(K450="","",IF(AND(K450&lt;=45,OR(J450="Já existe verba aprovada para esse tema",J450="Entra no orçamento do próximo ciclo")),"Alta",IF(OR(K450&lt;=45,J450="Já existe verba aprovada para esse tema"),"Média","Baixa")))</f>
        <v/>
      </c>
      <c r="S450" s="17"/>
      <c r="T450" s="17"/>
      <c r="U450" s="17"/>
      <c r="V450" s="17"/>
      <c r="W450" s="17"/>
      <c r="X450" s="17"/>
    </row>
    <row r="451" customFormat="false" ht="15" hidden="false" customHeight="fals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6" t="str">
        <f aca="false">IF(K451="","",IF(AND(K451&lt;=45,OR(J451="Já existe verba aprovada para esse tema",J451="Entra no orçamento do próximo ciclo")),"Alta",IF(OR(K451&lt;=45,J451="Já existe verba aprovada para esse tema"),"Média","Baixa")))</f>
        <v/>
      </c>
      <c r="S451" s="17"/>
      <c r="T451" s="17"/>
      <c r="U451" s="17"/>
      <c r="V451" s="17"/>
      <c r="W451" s="17"/>
      <c r="X451" s="17"/>
    </row>
    <row r="452" customFormat="false" ht="15" hidden="false" customHeight="fals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6" t="str">
        <f aca="false">IF(K452="","",IF(AND(K452&lt;=45,OR(J452="Já existe verba aprovada para esse tema",J452="Entra no orçamento do próximo ciclo")),"Alta",IF(OR(K452&lt;=45,J452="Já existe verba aprovada para esse tema"),"Média","Baixa")))</f>
        <v/>
      </c>
      <c r="S452" s="17"/>
      <c r="T452" s="17"/>
      <c r="U452" s="17"/>
      <c r="V452" s="17"/>
      <c r="W452" s="17"/>
      <c r="X452" s="17"/>
    </row>
    <row r="453" customFormat="false" ht="15" hidden="false" customHeight="fals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6" t="str">
        <f aca="false">IF(K453="","",IF(AND(K453&lt;=45,OR(J453="Já existe verba aprovada para esse tema",J453="Entra no orçamento do próximo ciclo")),"Alta",IF(OR(K453&lt;=45,J453="Já existe verba aprovada para esse tema"),"Média","Baixa")))</f>
        <v/>
      </c>
      <c r="S453" s="17"/>
      <c r="T453" s="17"/>
      <c r="U453" s="17"/>
      <c r="V453" s="17"/>
      <c r="W453" s="17"/>
      <c r="X453" s="17"/>
    </row>
    <row r="454" customFormat="false" ht="15" hidden="false" customHeight="fals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6" t="str">
        <f aca="false">IF(K454="","",IF(AND(K454&lt;=45,OR(J454="Já existe verba aprovada para esse tema",J454="Entra no orçamento do próximo ciclo")),"Alta",IF(OR(K454&lt;=45,J454="Já existe verba aprovada para esse tema"),"Média","Baixa")))</f>
        <v/>
      </c>
      <c r="S454" s="17"/>
      <c r="T454" s="17"/>
      <c r="U454" s="17"/>
      <c r="V454" s="17"/>
      <c r="W454" s="17"/>
      <c r="X454" s="17"/>
    </row>
    <row r="455" customFormat="false" ht="15" hidden="false" customHeight="fals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6" t="str">
        <f aca="false">IF(K455="","",IF(AND(K455&lt;=45,OR(J455="Já existe verba aprovada para esse tema",J455="Entra no orçamento do próximo ciclo")),"Alta",IF(OR(K455&lt;=45,J455="Já existe verba aprovada para esse tema"),"Média","Baixa")))</f>
        <v/>
      </c>
      <c r="S455" s="17"/>
      <c r="T455" s="17"/>
      <c r="U455" s="17"/>
      <c r="V455" s="17"/>
      <c r="W455" s="17"/>
      <c r="X455" s="17"/>
    </row>
    <row r="456" customFormat="false" ht="15" hidden="false" customHeight="fals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6" t="str">
        <f aca="false">IF(K456="","",IF(AND(K456&lt;=45,OR(J456="Já existe verba aprovada para esse tema",J456="Entra no orçamento do próximo ciclo")),"Alta",IF(OR(K456&lt;=45,J456="Já existe verba aprovada para esse tema"),"Média","Baixa")))</f>
        <v/>
      </c>
      <c r="S456" s="17"/>
      <c r="T456" s="17"/>
      <c r="U456" s="17"/>
      <c r="V456" s="17"/>
      <c r="W456" s="17"/>
      <c r="X456" s="17"/>
    </row>
    <row r="457" customFormat="false" ht="15" hidden="false" customHeight="fals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6" t="str">
        <f aca="false">IF(K457="","",IF(AND(K457&lt;=45,OR(J457="Já existe verba aprovada para esse tema",J457="Entra no orçamento do próximo ciclo")),"Alta",IF(OR(K457&lt;=45,J457="Já existe verba aprovada para esse tema"),"Média","Baixa")))</f>
        <v/>
      </c>
      <c r="S457" s="17"/>
      <c r="T457" s="17"/>
      <c r="U457" s="17"/>
      <c r="V457" s="17"/>
      <c r="W457" s="17"/>
      <c r="X457" s="17"/>
    </row>
    <row r="458" customFormat="false" ht="15" hidden="false" customHeight="fals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6" t="str">
        <f aca="false">IF(K458="","",IF(AND(K458&lt;=45,OR(J458="Já existe verba aprovada para esse tema",J458="Entra no orçamento do próximo ciclo")),"Alta",IF(OR(K458&lt;=45,J458="Já existe verba aprovada para esse tema"),"Média","Baixa")))</f>
        <v/>
      </c>
      <c r="S458" s="17"/>
      <c r="T458" s="17"/>
      <c r="U458" s="17"/>
      <c r="V458" s="17"/>
      <c r="W458" s="17"/>
      <c r="X458" s="17"/>
    </row>
    <row r="459" customFormat="false" ht="15" hidden="false" customHeight="fals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6" t="str">
        <f aca="false">IF(K459="","",IF(AND(K459&lt;=45,OR(J459="Já existe verba aprovada para esse tema",J459="Entra no orçamento do próximo ciclo")),"Alta",IF(OR(K459&lt;=45,J459="Já existe verba aprovada para esse tema"),"Média","Baixa")))</f>
        <v/>
      </c>
      <c r="S459" s="17"/>
      <c r="T459" s="17"/>
      <c r="U459" s="17"/>
      <c r="V459" s="17"/>
      <c r="W459" s="17"/>
      <c r="X459" s="17"/>
    </row>
    <row r="460" customFormat="false" ht="15" hidden="false" customHeight="fals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6" t="str">
        <f aca="false">IF(K460="","",IF(AND(K460&lt;=45,OR(J460="Já existe verba aprovada para esse tema",J460="Entra no orçamento do próximo ciclo")),"Alta",IF(OR(K460&lt;=45,J460="Já existe verba aprovada para esse tema"),"Média","Baixa")))</f>
        <v/>
      </c>
      <c r="S460" s="17"/>
      <c r="T460" s="17"/>
      <c r="U460" s="17"/>
      <c r="V460" s="17"/>
      <c r="W460" s="17"/>
      <c r="X460" s="17"/>
    </row>
    <row r="461" customFormat="false" ht="15" hidden="false" customHeight="fals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6" t="str">
        <f aca="false">IF(K461="","",IF(AND(K461&lt;=45,OR(J461="Já existe verba aprovada para esse tema",J461="Entra no orçamento do próximo ciclo")),"Alta",IF(OR(K461&lt;=45,J461="Já existe verba aprovada para esse tema"),"Média","Baixa")))</f>
        <v/>
      </c>
      <c r="S461" s="17"/>
      <c r="T461" s="17"/>
      <c r="U461" s="17"/>
      <c r="V461" s="17"/>
      <c r="W461" s="17"/>
      <c r="X461" s="17"/>
    </row>
    <row r="462" customFormat="false" ht="15" hidden="false" customHeight="fals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6" t="str">
        <f aca="false">IF(K462="","",IF(AND(K462&lt;=45,OR(J462="Já existe verba aprovada para esse tema",J462="Entra no orçamento do próximo ciclo")),"Alta",IF(OR(K462&lt;=45,J462="Já existe verba aprovada para esse tema"),"Média","Baixa")))</f>
        <v/>
      </c>
      <c r="S462" s="17"/>
      <c r="T462" s="17"/>
      <c r="U462" s="17"/>
      <c r="V462" s="17"/>
      <c r="W462" s="17"/>
      <c r="X462" s="17"/>
    </row>
    <row r="463" customFormat="false" ht="15" hidden="false" customHeight="fals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6" t="str">
        <f aca="false">IF(K463="","",IF(AND(K463&lt;=45,OR(J463="Já existe verba aprovada para esse tema",J463="Entra no orçamento do próximo ciclo")),"Alta",IF(OR(K463&lt;=45,J463="Já existe verba aprovada para esse tema"),"Média","Baixa")))</f>
        <v/>
      </c>
      <c r="S463" s="17"/>
      <c r="T463" s="17"/>
      <c r="U463" s="17"/>
      <c r="V463" s="17"/>
      <c r="W463" s="17"/>
      <c r="X463" s="17"/>
    </row>
    <row r="464" customFormat="false" ht="15" hidden="false" customHeight="fals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6" t="str">
        <f aca="false">IF(K464="","",IF(AND(K464&lt;=45,OR(J464="Já existe verba aprovada para esse tema",J464="Entra no orçamento do próximo ciclo")),"Alta",IF(OR(K464&lt;=45,J464="Já existe verba aprovada para esse tema"),"Média","Baixa")))</f>
        <v/>
      </c>
      <c r="S464" s="17"/>
      <c r="T464" s="17"/>
      <c r="U464" s="17"/>
      <c r="V464" s="17"/>
      <c r="W464" s="17"/>
      <c r="X464" s="17"/>
    </row>
    <row r="465" customFormat="false" ht="15" hidden="false" customHeight="fals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6" t="str">
        <f aca="false">IF(K465="","",IF(AND(K465&lt;=45,OR(J465="Já existe verba aprovada para esse tema",J465="Entra no orçamento do próximo ciclo")),"Alta",IF(OR(K465&lt;=45,J465="Já existe verba aprovada para esse tema"),"Média","Baixa")))</f>
        <v/>
      </c>
      <c r="S465" s="17"/>
      <c r="T465" s="17"/>
      <c r="U465" s="17"/>
      <c r="V465" s="17"/>
      <c r="W465" s="17"/>
      <c r="X465" s="17"/>
    </row>
    <row r="466" customFormat="false" ht="15" hidden="false" customHeight="fals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6" t="str">
        <f aca="false">IF(K466="","",IF(AND(K466&lt;=45,OR(J466="Já existe verba aprovada para esse tema",J466="Entra no orçamento do próximo ciclo")),"Alta",IF(OR(K466&lt;=45,J466="Já existe verba aprovada para esse tema"),"Média","Baixa")))</f>
        <v/>
      </c>
      <c r="S466" s="17"/>
      <c r="T466" s="17"/>
      <c r="U466" s="17"/>
      <c r="V466" s="17"/>
      <c r="W466" s="17"/>
      <c r="X466" s="17"/>
    </row>
    <row r="467" customFormat="false" ht="15" hidden="false" customHeight="fals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6" t="str">
        <f aca="false">IF(K467="","",IF(AND(K467&lt;=45,OR(J467="Já existe verba aprovada para esse tema",J467="Entra no orçamento do próximo ciclo")),"Alta",IF(OR(K467&lt;=45,J467="Já existe verba aprovada para esse tema"),"Média","Baixa")))</f>
        <v/>
      </c>
      <c r="S467" s="17"/>
      <c r="T467" s="17"/>
      <c r="U467" s="17"/>
      <c r="V467" s="17"/>
      <c r="W467" s="17"/>
      <c r="X467" s="17"/>
    </row>
    <row r="468" customFormat="false" ht="15" hidden="false" customHeight="fals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6" t="str">
        <f aca="false">IF(K468="","",IF(AND(K468&lt;=45,OR(J468="Já existe verba aprovada para esse tema",J468="Entra no orçamento do próximo ciclo")),"Alta",IF(OR(K468&lt;=45,J468="Já existe verba aprovada para esse tema"),"Média","Baixa")))</f>
        <v/>
      </c>
      <c r="S468" s="17"/>
      <c r="T468" s="17"/>
      <c r="U468" s="17"/>
      <c r="V468" s="17"/>
      <c r="W468" s="17"/>
      <c r="X468" s="17"/>
    </row>
    <row r="469" customFormat="false" ht="15" hidden="false" customHeight="fals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6" t="str">
        <f aca="false">IF(K469="","",IF(AND(K469&lt;=45,OR(J469="Já existe verba aprovada para esse tema",J469="Entra no orçamento do próximo ciclo")),"Alta",IF(OR(K469&lt;=45,J469="Já existe verba aprovada para esse tema"),"Média","Baixa")))</f>
        <v/>
      </c>
      <c r="S469" s="17"/>
      <c r="T469" s="17"/>
      <c r="U469" s="17"/>
      <c r="V469" s="17"/>
      <c r="W469" s="17"/>
      <c r="X469" s="17"/>
    </row>
    <row r="470" customFormat="false" ht="15" hidden="false" customHeight="fals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6" t="str">
        <f aca="false">IF(K470="","",IF(AND(K470&lt;=45,OR(J470="Já existe verba aprovada para esse tema",J470="Entra no orçamento do próximo ciclo")),"Alta",IF(OR(K470&lt;=45,J470="Já existe verba aprovada para esse tema"),"Média","Baixa")))</f>
        <v/>
      </c>
      <c r="S470" s="17"/>
      <c r="T470" s="17"/>
      <c r="U470" s="17"/>
      <c r="V470" s="17"/>
      <c r="W470" s="17"/>
      <c r="X470" s="17"/>
    </row>
    <row r="471" customFormat="false" ht="15" hidden="false" customHeight="fals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6" t="str">
        <f aca="false">IF(K471="","",IF(AND(K471&lt;=45,OR(J471="Já existe verba aprovada para esse tema",J471="Entra no orçamento do próximo ciclo")),"Alta",IF(OR(K471&lt;=45,J471="Já existe verba aprovada para esse tema"),"Média","Baixa")))</f>
        <v/>
      </c>
      <c r="S471" s="17"/>
      <c r="T471" s="17"/>
      <c r="U471" s="17"/>
      <c r="V471" s="17"/>
      <c r="W471" s="17"/>
      <c r="X471" s="17"/>
    </row>
    <row r="472" customFormat="false" ht="15" hidden="false" customHeight="fals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6" t="str">
        <f aca="false">IF(K472="","",IF(AND(K472&lt;=45,OR(J472="Já existe verba aprovada para esse tema",J472="Entra no orçamento do próximo ciclo")),"Alta",IF(OR(K472&lt;=45,J472="Já existe verba aprovada para esse tema"),"Média","Baixa")))</f>
        <v/>
      </c>
      <c r="S472" s="17"/>
      <c r="T472" s="17"/>
      <c r="U472" s="17"/>
      <c r="V472" s="17"/>
      <c r="W472" s="17"/>
      <c r="X472" s="17"/>
    </row>
    <row r="473" customFormat="false" ht="15" hidden="false" customHeight="fals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6" t="str">
        <f aca="false">IF(K473="","",IF(AND(K473&lt;=45,OR(J473="Já existe verba aprovada para esse tema",J473="Entra no orçamento do próximo ciclo")),"Alta",IF(OR(K473&lt;=45,J473="Já existe verba aprovada para esse tema"),"Média","Baixa")))</f>
        <v/>
      </c>
      <c r="S473" s="17"/>
      <c r="T473" s="17"/>
      <c r="U473" s="17"/>
      <c r="V473" s="17"/>
      <c r="W473" s="17"/>
      <c r="X473" s="17"/>
    </row>
    <row r="474" customFormat="false" ht="15" hidden="false" customHeight="fals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6" t="str">
        <f aca="false">IF(K474="","",IF(AND(K474&lt;=45,OR(J474="Já existe verba aprovada para esse tema",J474="Entra no orçamento do próximo ciclo")),"Alta",IF(OR(K474&lt;=45,J474="Já existe verba aprovada para esse tema"),"Média","Baixa")))</f>
        <v/>
      </c>
      <c r="S474" s="17"/>
      <c r="T474" s="17"/>
      <c r="U474" s="17"/>
      <c r="V474" s="17"/>
      <c r="W474" s="17"/>
      <c r="X474" s="17"/>
    </row>
    <row r="475" customFormat="false" ht="15" hidden="false" customHeight="fals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6" t="str">
        <f aca="false">IF(K475="","",IF(AND(K475&lt;=45,OR(J475="Já existe verba aprovada para esse tema",J475="Entra no orçamento do próximo ciclo")),"Alta",IF(OR(K475&lt;=45,J475="Já existe verba aprovada para esse tema"),"Média","Baixa")))</f>
        <v/>
      </c>
      <c r="S475" s="17"/>
      <c r="T475" s="17"/>
      <c r="U475" s="17"/>
      <c r="V475" s="17"/>
      <c r="W475" s="17"/>
      <c r="X475" s="17"/>
    </row>
    <row r="476" customFormat="false" ht="15" hidden="false" customHeight="fals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6" t="str">
        <f aca="false">IF(K476="","",IF(AND(K476&lt;=45,OR(J476="Já existe verba aprovada para esse tema",J476="Entra no orçamento do próximo ciclo")),"Alta",IF(OR(K476&lt;=45,J476="Já existe verba aprovada para esse tema"),"Média","Baixa")))</f>
        <v/>
      </c>
      <c r="S476" s="17"/>
      <c r="T476" s="17"/>
      <c r="U476" s="17"/>
      <c r="V476" s="17"/>
      <c r="W476" s="17"/>
      <c r="X476" s="17"/>
    </row>
    <row r="477" customFormat="false" ht="15" hidden="false" customHeight="fals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6" t="str">
        <f aca="false">IF(K477="","",IF(AND(K477&lt;=45,OR(J477="Já existe verba aprovada para esse tema",J477="Entra no orçamento do próximo ciclo")),"Alta",IF(OR(K477&lt;=45,J477="Já existe verba aprovada para esse tema"),"Média","Baixa")))</f>
        <v/>
      </c>
      <c r="S477" s="17"/>
      <c r="T477" s="17"/>
      <c r="U477" s="17"/>
      <c r="V477" s="17"/>
      <c r="W477" s="17"/>
      <c r="X477" s="17"/>
    </row>
    <row r="478" customFormat="false" ht="15" hidden="false" customHeight="fals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6" t="str">
        <f aca="false">IF(K478="","",IF(AND(K478&lt;=45,OR(J478="Já existe verba aprovada para esse tema",J478="Entra no orçamento do próximo ciclo")),"Alta",IF(OR(K478&lt;=45,J478="Já existe verba aprovada para esse tema"),"Média","Baixa")))</f>
        <v/>
      </c>
      <c r="S478" s="17"/>
      <c r="T478" s="17"/>
      <c r="U478" s="17"/>
      <c r="V478" s="17"/>
      <c r="W478" s="17"/>
      <c r="X478" s="17"/>
    </row>
    <row r="479" customFormat="false" ht="15" hidden="false" customHeight="fals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6" t="str">
        <f aca="false">IF(K479="","",IF(AND(K479&lt;=45,OR(J479="Já existe verba aprovada para esse tema",J479="Entra no orçamento do próximo ciclo")),"Alta",IF(OR(K479&lt;=45,J479="Já existe verba aprovada para esse tema"),"Média","Baixa")))</f>
        <v/>
      </c>
      <c r="S479" s="17"/>
      <c r="T479" s="17"/>
      <c r="U479" s="17"/>
      <c r="V479" s="17"/>
      <c r="W479" s="17"/>
      <c r="X479" s="17"/>
    </row>
    <row r="480" customFormat="false" ht="15" hidden="false" customHeight="fals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6" t="str">
        <f aca="false">IF(K480="","",IF(AND(K480&lt;=45,OR(J480="Já existe verba aprovada para esse tema",J480="Entra no orçamento do próximo ciclo")),"Alta",IF(OR(K480&lt;=45,J480="Já existe verba aprovada para esse tema"),"Média","Baixa")))</f>
        <v/>
      </c>
      <c r="S480" s="17"/>
      <c r="T480" s="17"/>
      <c r="U480" s="17"/>
      <c r="V480" s="17"/>
      <c r="W480" s="17"/>
      <c r="X480" s="17"/>
    </row>
    <row r="481" customFormat="false" ht="15" hidden="false" customHeight="fals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6" t="str">
        <f aca="false">IF(K481="","",IF(AND(K481&lt;=45,OR(J481="Já existe verba aprovada para esse tema",J481="Entra no orçamento do próximo ciclo")),"Alta",IF(OR(K481&lt;=45,J481="Já existe verba aprovada para esse tema"),"Média","Baixa")))</f>
        <v/>
      </c>
      <c r="S481" s="17"/>
      <c r="T481" s="17"/>
      <c r="U481" s="17"/>
      <c r="V481" s="17"/>
      <c r="W481" s="17"/>
      <c r="X481" s="17"/>
    </row>
    <row r="482" customFormat="false" ht="15" hidden="false" customHeight="fals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6" t="str">
        <f aca="false">IF(K482="","",IF(AND(K482&lt;=45,OR(J482="Já existe verba aprovada para esse tema",J482="Entra no orçamento do próximo ciclo")),"Alta",IF(OR(K482&lt;=45,J482="Já existe verba aprovada para esse tema"),"Média","Baixa")))</f>
        <v/>
      </c>
      <c r="S482" s="17"/>
      <c r="T482" s="17"/>
      <c r="U482" s="17"/>
      <c r="V482" s="17"/>
      <c r="W482" s="17"/>
      <c r="X482" s="17"/>
    </row>
    <row r="483" customFormat="false" ht="15" hidden="false" customHeight="fals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6" t="str">
        <f aca="false">IF(K483="","",IF(AND(K483&lt;=45,OR(J483="Já existe verba aprovada para esse tema",J483="Entra no orçamento do próximo ciclo")),"Alta",IF(OR(K483&lt;=45,J483="Já existe verba aprovada para esse tema"),"Média","Baixa")))</f>
        <v/>
      </c>
      <c r="S483" s="17"/>
      <c r="T483" s="17"/>
      <c r="U483" s="17"/>
      <c r="V483" s="17"/>
      <c r="W483" s="17"/>
      <c r="X483" s="17"/>
    </row>
    <row r="484" customFormat="false" ht="15" hidden="false" customHeight="fals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6" t="str">
        <f aca="false">IF(K484="","",IF(AND(K484&lt;=45,OR(J484="Já existe verba aprovada para esse tema",J484="Entra no orçamento do próximo ciclo")),"Alta",IF(OR(K484&lt;=45,J484="Já existe verba aprovada para esse tema"),"Média","Baixa")))</f>
        <v/>
      </c>
      <c r="S484" s="17"/>
      <c r="T484" s="17"/>
      <c r="U484" s="17"/>
      <c r="V484" s="17"/>
      <c r="W484" s="17"/>
      <c r="X484" s="17"/>
    </row>
    <row r="485" customFormat="false" ht="15" hidden="false" customHeight="fals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6" t="str">
        <f aca="false">IF(K485="","",IF(AND(K485&lt;=45,OR(J485="Já existe verba aprovada para esse tema",J485="Entra no orçamento do próximo ciclo")),"Alta",IF(OR(K485&lt;=45,J485="Já existe verba aprovada para esse tema"),"Média","Baixa")))</f>
        <v/>
      </c>
      <c r="S485" s="17"/>
      <c r="T485" s="17"/>
      <c r="U485" s="17"/>
      <c r="V485" s="17"/>
      <c r="W485" s="17"/>
      <c r="X485" s="17"/>
    </row>
    <row r="486" customFormat="false" ht="15" hidden="false" customHeight="fals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6" t="str">
        <f aca="false">IF(K486="","",IF(AND(K486&lt;=45,OR(J486="Já existe verba aprovada para esse tema",J486="Entra no orçamento do próximo ciclo")),"Alta",IF(OR(K486&lt;=45,J486="Já existe verba aprovada para esse tema"),"Média","Baixa")))</f>
        <v/>
      </c>
      <c r="S486" s="17"/>
      <c r="T486" s="17"/>
      <c r="U486" s="17"/>
      <c r="V486" s="17"/>
      <c r="W486" s="17"/>
      <c r="X486" s="17"/>
    </row>
    <row r="487" customFormat="false" ht="15" hidden="false" customHeight="fals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6" t="str">
        <f aca="false">IF(K487="","",IF(AND(K487&lt;=45,OR(J487="Já existe verba aprovada para esse tema",J487="Entra no orçamento do próximo ciclo")),"Alta",IF(OR(K487&lt;=45,J487="Já existe verba aprovada para esse tema"),"Média","Baixa")))</f>
        <v/>
      </c>
      <c r="S487" s="17"/>
      <c r="T487" s="17"/>
      <c r="U487" s="17"/>
      <c r="V487" s="17"/>
      <c r="W487" s="17"/>
      <c r="X487" s="17"/>
    </row>
    <row r="488" customFormat="false" ht="15" hidden="false" customHeight="fals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6" t="str">
        <f aca="false">IF(K488="","",IF(AND(K488&lt;=45,OR(J488="Já existe verba aprovada para esse tema",J488="Entra no orçamento do próximo ciclo")),"Alta",IF(OR(K488&lt;=45,J488="Já existe verba aprovada para esse tema"),"Média","Baixa")))</f>
        <v/>
      </c>
      <c r="S488" s="17"/>
      <c r="T488" s="17"/>
      <c r="U488" s="17"/>
      <c r="V488" s="17"/>
      <c r="W488" s="17"/>
      <c r="X488" s="17"/>
    </row>
    <row r="489" customFormat="false" ht="15" hidden="false" customHeight="fals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6" t="str">
        <f aca="false">IF(K489="","",IF(AND(K489&lt;=45,OR(J489="Já existe verba aprovada para esse tema",J489="Entra no orçamento do próximo ciclo")),"Alta",IF(OR(K489&lt;=45,J489="Já existe verba aprovada para esse tema"),"Média","Baixa")))</f>
        <v/>
      </c>
      <c r="S489" s="17"/>
      <c r="T489" s="17"/>
      <c r="U489" s="17"/>
      <c r="V489" s="17"/>
      <c r="W489" s="17"/>
      <c r="X489" s="17"/>
    </row>
    <row r="490" customFormat="false" ht="15" hidden="false" customHeight="fals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6" t="str">
        <f aca="false">IF(K490="","",IF(AND(K490&lt;=45,OR(J490="Já existe verba aprovada para esse tema",J490="Entra no orçamento do próximo ciclo")),"Alta",IF(OR(K490&lt;=45,J490="Já existe verba aprovada para esse tema"),"Média","Baixa")))</f>
        <v/>
      </c>
      <c r="S490" s="17"/>
      <c r="T490" s="17"/>
      <c r="U490" s="17"/>
      <c r="V490" s="17"/>
      <c r="W490" s="17"/>
      <c r="X490" s="17"/>
    </row>
    <row r="491" customFormat="false" ht="15" hidden="false" customHeight="fals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6" t="str">
        <f aca="false">IF(K491="","",IF(AND(K491&lt;=45,OR(J491="Já existe verba aprovada para esse tema",J491="Entra no orçamento do próximo ciclo")),"Alta",IF(OR(K491&lt;=45,J491="Já existe verba aprovada para esse tema"),"Média","Baixa")))</f>
        <v/>
      </c>
      <c r="S491" s="17"/>
      <c r="T491" s="17"/>
      <c r="U491" s="17"/>
      <c r="V491" s="17"/>
      <c r="W491" s="17"/>
      <c r="X491" s="17"/>
    </row>
    <row r="492" customFormat="false" ht="15" hidden="false" customHeight="fals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6" t="str">
        <f aca="false">IF(K492="","",IF(AND(K492&lt;=45,OR(J492="Já existe verba aprovada para esse tema",J492="Entra no orçamento do próximo ciclo")),"Alta",IF(OR(K492&lt;=45,J492="Já existe verba aprovada para esse tema"),"Média","Baixa")))</f>
        <v/>
      </c>
      <c r="S492" s="17"/>
      <c r="T492" s="17"/>
      <c r="U492" s="17"/>
      <c r="V492" s="17"/>
      <c r="W492" s="17"/>
      <c r="X492" s="17"/>
    </row>
    <row r="493" customFormat="false" ht="15" hidden="false" customHeight="fals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6" t="str">
        <f aca="false">IF(K493="","",IF(AND(K493&lt;=45,OR(J493="Já existe verba aprovada para esse tema",J493="Entra no orçamento do próximo ciclo")),"Alta",IF(OR(K493&lt;=45,J493="Já existe verba aprovada para esse tema"),"Média","Baixa")))</f>
        <v/>
      </c>
      <c r="S493" s="17"/>
      <c r="T493" s="17"/>
      <c r="U493" s="17"/>
      <c r="V493" s="17"/>
      <c r="W493" s="17"/>
      <c r="X493" s="17"/>
    </row>
    <row r="494" customFormat="false" ht="15" hidden="false" customHeight="fals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6" t="str">
        <f aca="false">IF(K494="","",IF(AND(K494&lt;=45,OR(J494="Já existe verba aprovada para esse tema",J494="Entra no orçamento do próximo ciclo")),"Alta",IF(OR(K494&lt;=45,J494="Já existe verba aprovada para esse tema"),"Média","Baixa")))</f>
        <v/>
      </c>
      <c r="S494" s="17"/>
      <c r="T494" s="17"/>
      <c r="U494" s="17"/>
      <c r="V494" s="17"/>
      <c r="W494" s="17"/>
      <c r="X494" s="17"/>
    </row>
    <row r="495" customFormat="false" ht="15" hidden="false" customHeight="fals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6" t="str">
        <f aca="false">IF(K495="","",IF(AND(K495&lt;=45,OR(J495="Já existe verba aprovada para esse tema",J495="Entra no orçamento do próximo ciclo")),"Alta",IF(OR(K495&lt;=45,J495="Já existe verba aprovada para esse tema"),"Média","Baixa")))</f>
        <v/>
      </c>
      <c r="S495" s="17"/>
      <c r="T495" s="17"/>
      <c r="U495" s="17"/>
      <c r="V495" s="17"/>
      <c r="W495" s="17"/>
      <c r="X495" s="17"/>
    </row>
    <row r="496" customFormat="false" ht="15" hidden="false" customHeight="fals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6" t="str">
        <f aca="false">IF(K496="","",IF(AND(K496&lt;=45,OR(J496="Já existe verba aprovada para esse tema",J496="Entra no orçamento do próximo ciclo")),"Alta",IF(OR(K496&lt;=45,J496="Já existe verba aprovada para esse tema"),"Média","Baixa")))</f>
        <v/>
      </c>
      <c r="S496" s="17"/>
      <c r="T496" s="17"/>
      <c r="U496" s="17"/>
      <c r="V496" s="17"/>
      <c r="W496" s="17"/>
      <c r="X496" s="17"/>
    </row>
    <row r="497" customFormat="false" ht="15" hidden="false" customHeight="fals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6" t="str">
        <f aca="false">IF(K497="","",IF(AND(K497&lt;=45,OR(J497="Já existe verba aprovada para esse tema",J497="Entra no orçamento do próximo ciclo")),"Alta",IF(OR(K497&lt;=45,J497="Já existe verba aprovada para esse tema"),"Média","Baixa")))</f>
        <v/>
      </c>
      <c r="S497" s="17"/>
      <c r="T497" s="17"/>
      <c r="U497" s="17"/>
      <c r="V497" s="17"/>
      <c r="W497" s="17"/>
      <c r="X497" s="17"/>
    </row>
    <row r="498" customFormat="false" ht="15" hidden="false" customHeight="fals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6" t="str">
        <f aca="false">IF(K498="","",IF(AND(K498&lt;=45,OR(J498="Já existe verba aprovada para esse tema",J498="Entra no orçamento do próximo ciclo")),"Alta",IF(OR(K498&lt;=45,J498="Já existe verba aprovada para esse tema"),"Média","Baixa")))</f>
        <v/>
      </c>
      <c r="S498" s="17"/>
      <c r="T498" s="17"/>
      <c r="U498" s="17"/>
      <c r="V498" s="17"/>
      <c r="W498" s="17"/>
      <c r="X498" s="17"/>
    </row>
    <row r="499" customFormat="false" ht="15" hidden="false" customHeight="fals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6" t="str">
        <f aca="false">IF(K499="","",IF(AND(K499&lt;=45,OR(J499="Já existe verba aprovada para esse tema",J499="Entra no orçamento do próximo ciclo")),"Alta",IF(OR(K499&lt;=45,J499="Já existe verba aprovada para esse tema"),"Média","Baixa")))</f>
        <v/>
      </c>
      <c r="S499" s="17"/>
      <c r="T499" s="17"/>
      <c r="U499" s="17"/>
      <c r="V499" s="17"/>
      <c r="W499" s="17"/>
      <c r="X499" s="17"/>
    </row>
    <row r="500" customFormat="false" ht="15" hidden="false" customHeight="fals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6" t="str">
        <f aca="false">IF(K500="","",IF(AND(K500&lt;=45,OR(J500="Já existe verba aprovada para esse tema",J500="Entra no orçamento do próximo ciclo")),"Alta",IF(OR(K500&lt;=45,J500="Já existe verba aprovada para esse tema"),"Média","Baixa")))</f>
        <v/>
      </c>
      <c r="S500" s="17"/>
      <c r="T500" s="17"/>
      <c r="U500" s="17"/>
      <c r="V500" s="17"/>
      <c r="W500" s="17"/>
      <c r="X500" s="17"/>
    </row>
    <row r="501" customFormat="false" ht="15" hidden="false" customHeight="fals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6" t="str">
        <f aca="false">IF(K501="","",IF(AND(K501&lt;=45,OR(J501="Já existe verba aprovada para esse tema",J501="Entra no orçamento do próximo ciclo")),"Alta",IF(OR(K501&lt;=45,J501="Já existe verba aprovada para esse tema"),"Média","Baixa")))</f>
        <v/>
      </c>
      <c r="S501" s="17"/>
      <c r="T501" s="17"/>
      <c r="U501" s="17"/>
      <c r="V501" s="17"/>
      <c r="W501" s="17"/>
      <c r="X501" s="17"/>
    </row>
    <row r="502" customFormat="false" ht="15" hidden="false" customHeight="fals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6" t="str">
        <f aca="false">IF(K502="","",IF(AND(K502&lt;=45,OR(J502="Já existe verba aprovada para esse tema",J502="Entra no orçamento do próximo ciclo")),"Alta",IF(OR(K502&lt;=45,J502="Já existe verba aprovada para esse tema"),"Média","Baixa")))</f>
        <v/>
      </c>
      <c r="S502" s="17"/>
      <c r="T502" s="17"/>
      <c r="U502" s="17"/>
      <c r="V502" s="17"/>
      <c r="W502" s="17"/>
      <c r="X502" s="17"/>
    </row>
    <row r="503" customFormat="false" ht="15" hidden="false" customHeight="fals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6" t="str">
        <f aca="false">IF(K503="","",IF(AND(K503&lt;=45,OR(J503="Já existe verba aprovada para esse tema",J503="Entra no orçamento do próximo ciclo")),"Alta",IF(OR(K503&lt;=45,J503="Já existe verba aprovada para esse tema"),"Média","Baixa")))</f>
        <v/>
      </c>
      <c r="S503" s="17"/>
      <c r="T503" s="17"/>
      <c r="U503" s="17"/>
      <c r="V503" s="17"/>
      <c r="W503" s="17"/>
      <c r="X503" s="17"/>
    </row>
  </sheetData>
  <autoFilter ref="A3:X503"/>
  <mergeCells count="2">
    <mergeCell ref="A1:X1"/>
    <mergeCell ref="A2:X2"/>
  </mergeCells>
  <conditionalFormatting sqref="K4:K503">
    <cfRule type="cellIs" priority="2" operator="lessThanOrEqual" aboveAverage="0" equalAverage="0" bottom="0" percent="0" rank="0" text="" dxfId="12">
      <formula>33</formula>
    </cfRule>
    <cfRule type="cellIs" priority="3" operator="between" aboveAverage="0" equalAverage="0" bottom="0" percent="0" rank="0" text="" dxfId="13">
      <formula>34</formula>
      <formula>66</formula>
    </cfRule>
    <cfRule type="cellIs" priority="4" operator="greaterThanOrEqual" aboveAverage="0" equalAverage="0" bottom="0" percent="0" rank="0" text="" dxfId="14">
      <formula>67</formula>
    </cfRule>
  </conditionalFormatting>
  <conditionalFormatting sqref="M4:P503">
    <cfRule type="colorScale" priority="5">
      <colorScale>
        <cfvo type="num" val="0"/>
        <cfvo type="num" val="50"/>
        <cfvo type="num" val="100"/>
        <color rgb="FFF5C6C2"/>
        <color rgb="FFFDEFD3"/>
        <color rgb="FFCDE9D9"/>
      </colorScale>
    </cfRule>
  </conditionalFormatting>
  <conditionalFormatting sqref="R4:R503">
    <cfRule type="cellIs" priority="6" operator="equal" aboveAverage="0" equalAverage="0" bottom="0" percent="0" rank="0" text="" dxfId="15">
      <formula>"Alta"</formula>
    </cfRule>
    <cfRule type="cellIs" priority="7" operator="equal" aboveAverage="0" equalAverage="0" bottom="0" percent="0" rank="0" text="" dxfId="16">
      <formula>"Média"</formula>
    </cfRule>
  </conditionalFormatting>
  <dataValidations count="2">
    <dataValidation allowBlank="true" errorStyle="stop" operator="between" showDropDown="false" showErrorMessage="false" showInputMessage="false" sqref="W4:W503" type="list">
      <formula1>"Novo,Contatado,Reunião agendada,Qualificado,Descartado"</formula1>
      <formula2>0</formula2>
    </dataValidation>
    <dataValidation allowBlank="true" errorStyle="stop" operator="between" showDropDown="false" showErrorMessage="false" showInputMessage="false" sqref="U4:U503" type="list">
      <formula1>"Web,VR,VR 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30" hidden="false" customHeight="true" outlineLevel="0" collapsed="false">
      <c r="A1" s="20" t="s">
        <v>103</v>
      </c>
      <c r="B1" s="20"/>
    </row>
    <row r="3" customFormat="false" ht="24" hidden="false" customHeight="true" outlineLevel="0" collapsed="false">
      <c r="B3" s="21" t="s">
        <v>104</v>
      </c>
    </row>
    <row r="4" customFormat="false" ht="30" hidden="false" customHeight="true" outlineLevel="0" collapsed="false">
      <c r="B4" s="22" t="s">
        <v>105</v>
      </c>
    </row>
    <row r="5" customFormat="false" ht="30" hidden="false" customHeight="true" outlineLevel="0" collapsed="false">
      <c r="B5" s="22" t="s">
        <v>106</v>
      </c>
    </row>
    <row r="7" customFormat="false" ht="24" hidden="false" customHeight="true" outlineLevel="0" collapsed="false">
      <c r="B7" s="21" t="s">
        <v>107</v>
      </c>
    </row>
    <row r="8" customFormat="false" ht="30" hidden="false" customHeight="true" outlineLevel="0" collapsed="false">
      <c r="B8" s="22" t="s">
        <v>108</v>
      </c>
    </row>
    <row r="9" customFormat="false" ht="30" hidden="false" customHeight="true" outlineLevel="0" collapsed="false">
      <c r="B9" s="22" t="s">
        <v>109</v>
      </c>
    </row>
    <row r="10" customFormat="false" ht="30" hidden="false" customHeight="true" outlineLevel="0" collapsed="false">
      <c r="B10" s="22" t="s">
        <v>110</v>
      </c>
    </row>
    <row r="11" customFormat="false" ht="30" hidden="false" customHeight="true" outlineLevel="0" collapsed="false">
      <c r="B11" s="22" t="s">
        <v>111</v>
      </c>
    </row>
    <row r="12" customFormat="false" ht="30" hidden="false" customHeight="true" outlineLevel="0" collapsed="false">
      <c r="B12" s="22" t="s">
        <v>112</v>
      </c>
    </row>
    <row r="14" customFormat="false" ht="24" hidden="false" customHeight="true" outlineLevel="0" collapsed="false">
      <c r="B14" s="21" t="s">
        <v>113</v>
      </c>
    </row>
    <row r="15" customFormat="false" ht="15" hidden="false" customHeight="false" outlineLevel="0" collapsed="false">
      <c r="B15" s="23" t="s">
        <v>114</v>
      </c>
    </row>
    <row r="16" customFormat="false" ht="15" hidden="false" customHeight="false" outlineLevel="0" collapsed="false">
      <c r="B16" s="23" t="s">
        <v>115</v>
      </c>
    </row>
    <row r="17" customFormat="false" ht="15" hidden="false" customHeight="false" outlineLevel="0" collapsed="false">
      <c r="B17" s="23" t="s">
        <v>116</v>
      </c>
    </row>
    <row r="18" customFormat="false" ht="15" hidden="false" customHeight="false" outlineLevel="0" collapsed="false">
      <c r="B18" s="23" t="s">
        <v>117</v>
      </c>
    </row>
    <row r="19" customFormat="false" ht="15" hidden="false" customHeight="false" outlineLevel="0" collapsed="false">
      <c r="B19" s="23" t="s">
        <v>118</v>
      </c>
    </row>
    <row r="20" customFormat="false" ht="15" hidden="false" customHeight="false" outlineLevel="0" collapsed="false">
      <c r="B20" s="23" t="s">
        <v>119</v>
      </c>
    </row>
    <row r="21" customFormat="false" ht="15" hidden="false" customHeight="false" outlineLevel="0" collapsed="false">
      <c r="B21" s="23" t="s">
        <v>120</v>
      </c>
    </row>
    <row r="22" customFormat="false" ht="15" hidden="false" customHeight="false" outlineLevel="0" collapsed="false">
      <c r="B22" s="23" t="s">
        <v>121</v>
      </c>
    </row>
    <row r="23" customFormat="false" ht="15" hidden="false" customHeight="false" outlineLevel="0" collapsed="false">
      <c r="B23" s="23" t="s">
        <v>122</v>
      </c>
    </row>
    <row r="24" customFormat="false" ht="15" hidden="false" customHeight="false" outlineLevel="0" collapsed="false">
      <c r="B24" s="23" t="s">
        <v>123</v>
      </c>
    </row>
    <row r="25" customFormat="false" ht="15" hidden="false" customHeight="false" outlineLevel="0" collapsed="false">
      <c r="B25" s="23"/>
    </row>
    <row r="26" customFormat="false" ht="15" hidden="false" customHeight="false" outlineLevel="0" collapsed="false">
      <c r="B26" s="23" t="s">
        <v>124</v>
      </c>
    </row>
    <row r="27" customFormat="false" ht="15" hidden="false" customHeight="false" outlineLevel="0" collapsed="false">
      <c r="B27" s="23" t="s">
        <v>125</v>
      </c>
    </row>
    <row r="28" customFormat="false" ht="15" hidden="false" customHeight="false" outlineLevel="0" collapsed="false">
      <c r="B28" s="23" t="s">
        <v>126</v>
      </c>
    </row>
    <row r="29" customFormat="false" ht="15" hidden="false" customHeight="false" outlineLevel="0" collapsed="false">
      <c r="B29" s="23" t="s">
        <v>127</v>
      </c>
    </row>
    <row r="30" customFormat="false" ht="15" hidden="false" customHeight="false" outlineLevel="0" collapsed="false">
      <c r="B30" s="23" t="s">
        <v>128</v>
      </c>
    </row>
    <row r="31" customFormat="false" ht="15" hidden="false" customHeight="false" outlineLevel="0" collapsed="false">
      <c r="B31" s="23" t="s">
        <v>129</v>
      </c>
    </row>
    <row r="32" customFormat="false" ht="15" hidden="false" customHeight="false" outlineLevel="0" collapsed="false">
      <c r="B32" s="23"/>
    </row>
    <row r="33" customFormat="false" ht="15" hidden="false" customHeight="false" outlineLevel="0" collapsed="false">
      <c r="B33" s="23" t="s">
        <v>130</v>
      </c>
    </row>
    <row r="34" customFormat="false" ht="15" hidden="false" customHeight="false" outlineLevel="0" collapsed="false">
      <c r="B34" s="23"/>
    </row>
    <row r="35" customFormat="false" ht="15" hidden="false" customHeight="false" outlineLevel="0" collapsed="false">
      <c r="B35" s="23" t="s">
        <v>131</v>
      </c>
    </row>
    <row r="36" customFormat="false" ht="15" hidden="false" customHeight="false" outlineLevel="0" collapsed="false">
      <c r="B36" s="23" t="s">
        <v>132</v>
      </c>
    </row>
    <row r="37" customFormat="false" ht="15" hidden="false" customHeight="false" outlineLevel="0" collapsed="false">
      <c r="B37" s="23" t="s">
        <v>133</v>
      </c>
    </row>
    <row r="38" customFormat="false" ht="15" hidden="false" customHeight="false" outlineLevel="0" collapsed="false">
      <c r="B38" s="23" t="s">
        <v>134</v>
      </c>
    </row>
    <row r="39" customFormat="false" ht="15" hidden="false" customHeight="false" outlineLevel="0" collapsed="false">
      <c r="B39" s="23" t="s">
        <v>135</v>
      </c>
    </row>
    <row r="40" customFormat="false" ht="15" hidden="false" customHeight="false" outlineLevel="0" collapsed="false">
      <c r="B40" s="23" t="s">
        <v>136</v>
      </c>
    </row>
    <row r="41" customFormat="false" ht="15" hidden="false" customHeight="false" outlineLevel="0" collapsed="false">
      <c r="B41" s="23"/>
    </row>
    <row r="42" customFormat="false" ht="15" hidden="false" customHeight="false" outlineLevel="0" collapsed="false">
      <c r="B42" s="23" t="s">
        <v>137</v>
      </c>
    </row>
    <row r="43" customFormat="false" ht="15" hidden="false" customHeight="false" outlineLevel="0" collapsed="false">
      <c r="B43" s="23" t="s">
        <v>138</v>
      </c>
    </row>
    <row r="44" customFormat="false" ht="15" hidden="false" customHeight="false" outlineLevel="0" collapsed="false">
      <c r="B44" s="23" t="s">
        <v>139</v>
      </c>
    </row>
    <row r="46" customFormat="false" ht="24" hidden="false" customHeight="true" outlineLevel="0" collapsed="false">
      <c r="B46" s="21" t="s">
        <v>59</v>
      </c>
    </row>
    <row r="47" customFormat="false" ht="30" hidden="false" customHeight="true" outlineLevel="0" collapsed="false">
      <c r="B47" s="22" t="s">
        <v>140</v>
      </c>
    </row>
    <row r="48" customFormat="false" ht="30" hidden="false" customHeight="true" outlineLevel="0" collapsed="false">
      <c r="B48" s="22" t="s">
        <v>141</v>
      </c>
    </row>
    <row r="49" customFormat="false" ht="30" hidden="false" customHeight="true" outlineLevel="0" collapsed="false">
      <c r="B49" s="22" t="s">
        <v>142</v>
      </c>
    </row>
    <row r="50" customFormat="false" ht="30" hidden="false" customHeight="true" outlineLevel="0" collapsed="false">
      <c r="B50" s="22" t="s">
        <v>143</v>
      </c>
    </row>
    <row r="51" customFormat="false" ht="30" hidden="false" customHeight="true" outlineLevel="0" collapsed="false">
      <c r="B51" s="22" t="s">
        <v>144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2026-07-31T20:09:25Z</dcterms:created>
  <dc:creator>openpyxl</dc:creator>
  <dc:description/>
  <dc:language>en-US</dc:language>
  <cp:lastModifiedBy/>
  <dcterms:modified xsi:type="dcterms:W3CDTF">2026-07-31T20:09:26Z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